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Monthly Analysis" sheetId="4" state="visible" r:id="rId4"/>
    <sheet xmlns:r="http://schemas.openxmlformats.org/officeDocument/2006/relationships" name="Regional Analysis" sheetId="5" state="visible" r:id="rId5"/>
    <sheet xmlns:r="http://schemas.openxmlformats.org/officeDocument/2006/relationships" name="What-If &amp; Regression" sheetId="6" state="visible" r:id="rId6"/>
    <sheet xmlns:r="http://schemas.openxmlformats.org/officeDocument/2006/relationships" name="Category Analysis" sheetId="7" state="visible" r:id="rId7"/>
    <sheet xmlns:r="http://schemas.openxmlformats.org/officeDocument/2006/relationships"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yyyy-mm-dd h:mm:ss"/>
    <numFmt numFmtId="166" formatCode="dd-mmm-yyyy"/>
    <numFmt numFmtId="167" formatCode="hh:mm"/>
    <numFmt numFmtId="168" formatCode="₹#,##0"/>
    <numFmt numFmtId="169" formatCode="dd-mmm-yyyy hh:mm"/>
    <numFmt numFmtId="170" formatCode="0.0"/>
    <numFmt numFmtId="171" formatCode="mmm-yyyy"/>
    <numFmt numFmtId="172" formatCode="0.0%"/>
    <numFmt numFmtId="173" formatCode="dd-mmm-yyyy hh:mm:ss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8"/>
    </font>
    <font>
      <b val="1"/>
    </font>
    <font>
      <b val="1"/>
      <color rgb="001F4E78"/>
      <sz val="22"/>
    </font>
    <font>
      <b val="1"/>
      <sz val="16"/>
    </font>
    <font>
      <b val="1"/>
      <color rgb="001F4E78"/>
      <sz val="2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2" fillId="0" borderId="0" pivotButton="0" quotePrefix="0" xfId="0"/>
    <xf numFmtId="168" fontId="0" fillId="3" borderId="0" pivotButton="0" quotePrefix="0" xfId="0"/>
    <xf numFmtId="169" fontId="0" fillId="0" borderId="0" pivotButton="0" quotePrefix="0" xfId="0"/>
    <xf numFmtId="1" fontId="0" fillId="3" borderId="0" pivotButton="0" quotePrefix="0" xfId="0"/>
    <xf numFmtId="170" fontId="0" fillId="3" borderId="0" pivotButton="0" quotePrefix="0" xfId="0"/>
    <xf numFmtId="171" fontId="0" fillId="0" borderId="0" pivotButton="0" quotePrefix="0" xfId="0"/>
    <xf numFmtId="172" fontId="0" fillId="0" borderId="0" pivotButton="0" quotePrefix="0" xfId="0"/>
    <xf numFmtId="9" fontId="0" fillId="0" borderId="0" pivotButton="0" quotePrefix="0" xfId="0"/>
    <xf numFmtId="173" fontId="0" fillId="0" borderId="0" pivotButton="0" quotePrefix="0" xfId="0"/>
    <xf numFmtId="0" fontId="4" fillId="0" borderId="0" pivotButton="0" quotePrefix="0" xfId="0"/>
    <xf numFmtId="0" fontId="3" fillId="4" borderId="0" pivotButton="0" quotePrefix="0" xfId="0"/>
    <xf numFmtId="168" fontId="5" fillId="3" borderId="0" pivotButton="0" quotePrefix="0" xfId="0"/>
    <xf numFmtId="0" fontId="5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 Analysis'!$A$4:$A$7</f>
            </numRef>
          </cat>
          <val>
            <numRef>
              <f>'Regional Analysis'!$B$4:$B$7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Analysis'!B3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Analysis'!$A$4:$A$12</f>
            </numRef>
          </cat>
          <val>
            <numRef>
              <f>'Monthly Analysis'!$B$4:$B$12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Analysis'!$A$2:$A$5</f>
            </numRef>
          </cat>
          <val>
            <numRef>
              <f>'Category Analysis'!$B$2:$B$5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6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nsactions" displayName="Transactions" ref="A1:M101" headerRowCount="1">
  <autoFilter ref="A1:M101"/>
  <tableColumns count="13">
    <tableColumn id="1" name="Transaction ID"/>
    <tableColumn id="2" name="Date"/>
    <tableColumn id="3" name="Time"/>
    <tableColumn id="4" name="Customer"/>
    <tableColumn id="5" name="Region"/>
    <tableColumn id="6" name="Product"/>
    <tableColumn id="7" name="Category"/>
    <tableColumn id="8" name="Quantity"/>
    <tableColumn id="9" name="Unit Price"/>
    <tableColumn id="10" name="Revenue"/>
    <tableColumn id="11" name="Payment Method"/>
    <tableColumn id="12" name="Customer Type"/>
    <tableColumn id="13" name="Salespers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EXCEL CUSTOMER TRANSACTION ANALYSIS – SOLUTION GUIDE</t>
        </is>
      </c>
    </row>
    <row r="3">
      <c r="A3" s="2" t="inlineStr">
        <is>
          <t>1. Raw Data</t>
        </is>
      </c>
      <c r="B3" s="3" t="inlineStr">
        <is>
          <t>100 sample customer transactions are included. Replace them with your actual dataset if your teacher supplied one.</t>
        </is>
      </c>
    </row>
    <row r="4">
      <c r="A4" s="2" t="inlineStr">
        <is>
          <t>2. Date &amp; Time</t>
        </is>
      </c>
      <c r="B4" s="3" t="inlineStr">
        <is>
          <t>TODAY(), NOW(), DATEDIF(), TEXT() and EDATE() are demonstrated.</t>
        </is>
      </c>
    </row>
    <row r="5">
      <c r="A5" s="2" t="inlineStr">
        <is>
          <t>3. FILTER</t>
        </is>
      </c>
      <c r="B5" s="3" t="inlineStr">
        <is>
          <t>Analysis!A12 returns multiple Electronics records using FILTER.</t>
        </is>
      </c>
    </row>
    <row r="6">
      <c r="A6" s="2" t="inlineStr">
        <is>
          <t>4. Conditional Formatting</t>
        </is>
      </c>
      <c r="B6" s="3" t="inlineStr">
        <is>
          <t>Analysis!G12:G21 highlights customer revenue using a color scale.</t>
        </is>
      </c>
    </row>
    <row r="7">
      <c r="A7" s="2" t="inlineStr">
        <is>
          <t>5. Timestamp</t>
        </is>
      </c>
      <c r="B7" s="3" t="inlineStr">
        <is>
          <t>What-If &amp; Regression!B18 uses NOW(); press F9 to recalculate.</t>
        </is>
      </c>
    </row>
    <row r="8">
      <c r="A8" s="2" t="inlineStr">
        <is>
          <t>6. What-If</t>
        </is>
      </c>
      <c r="B8" s="3" t="inlineStr">
        <is>
          <t>Scenario table is provided. Actual Goal Seek: Data → What-If Analysis → Goal Seek.</t>
        </is>
      </c>
    </row>
    <row r="9">
      <c r="A9" s="2" t="inlineStr">
        <is>
          <t>7. Linear Regression</t>
        </is>
      </c>
      <c r="B9" s="3" t="inlineStr">
        <is>
          <t>SLOPE, INTERCEPT, RSQ and CORREL are included; ToolPak path: Data → Data Analysis → Regression.</t>
        </is>
      </c>
    </row>
    <row r="10">
      <c r="A10" s="2" t="inlineStr">
        <is>
          <t>8. GroupBy Concept</t>
        </is>
      </c>
      <c r="B10" s="3" t="inlineStr">
        <is>
          <t>Customer revenue and transaction counts are grouped with SUMIF/COUNTIF.</t>
        </is>
      </c>
    </row>
    <row r="11">
      <c r="A11" s="2" t="inlineStr">
        <is>
          <t>9. Dashboard</t>
        </is>
      </c>
      <c r="B11" s="3" t="inlineStr">
        <is>
          <t>Dashboard contains KPI indicators plus Bar, Line and Pie charts.</t>
        </is>
      </c>
    </row>
    <row r="12">
      <c r="A12" s="2" t="inlineStr">
        <is>
          <t>10. Slicers &amp; Timeline</t>
        </is>
      </c>
      <c r="B12" s="3" t="inlineStr">
        <is>
          <t>Create PivotTables from Raw Data, then add Slicers and a Timeline.</t>
        </is>
      </c>
    </row>
    <row r="13">
      <c r="A13" s="2" t="inlineStr">
        <is>
          <t>11. Compare Lists</t>
        </is>
      </c>
      <c r="B13" s="3" t="inlineStr">
        <is>
          <t>Analysis!C31:C40 extracts matching names from two lists.</t>
        </is>
      </c>
    </row>
    <row r="14">
      <c r="A14" s="2" t="inlineStr">
        <is>
          <t>12. Abbreviations</t>
        </is>
      </c>
      <c r="B14" s="3" t="inlineStr">
        <is>
          <t>Analysis!F31:F40 creates 3-letter abbreviations using LEFT/TEXT-related functions.</t>
        </is>
      </c>
    </row>
    <row r="15">
      <c r="A15" s="2" t="inlineStr">
        <is>
          <t>13. Final Story</t>
        </is>
      </c>
      <c r="B15" s="3" t="inlineStr">
        <is>
          <t>Report Total Revenue, Total Transactions, Most Purchased Product, Most Frequent Customer and Regional/Monthly trends.</t>
        </is>
      </c>
    </row>
  </sheetData>
  <mergeCells count="14">
    <mergeCell ref="B4:F4"/>
    <mergeCell ref="B12:F12"/>
    <mergeCell ref="B7:F7"/>
    <mergeCell ref="B6:F6"/>
    <mergeCell ref="B15:F15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12" customWidth="1" min="5" max="5"/>
    <col width="16" customWidth="1" min="6" max="6"/>
    <col width="15" customWidth="1" min="7" max="7"/>
    <col width="10" customWidth="1" min="8" max="8"/>
    <col width="13" customWidth="1" min="9" max="9"/>
    <col width="14" customWidth="1" min="10" max="10"/>
    <col width="16" customWidth="1" min="11" max="11"/>
    <col width="15" customWidth="1" min="12" max="12"/>
    <col width="14" customWidth="1" min="13" max="13"/>
  </cols>
  <sheetData>
    <row r="1">
      <c r="A1" s="4" t="inlineStr">
        <is>
          <t>Transaction ID</t>
        </is>
      </c>
      <c r="B1" s="4" t="inlineStr">
        <is>
          <t>Date</t>
        </is>
      </c>
      <c r="C1" s="4" t="inlineStr">
        <is>
          <t>Time</t>
        </is>
      </c>
      <c r="D1" s="4" t="inlineStr">
        <is>
          <t>Customer</t>
        </is>
      </c>
      <c r="E1" s="4" t="inlineStr">
        <is>
          <t>Region</t>
        </is>
      </c>
      <c r="F1" s="4" t="inlineStr">
        <is>
          <t>Product</t>
        </is>
      </c>
      <c r="G1" s="4" t="inlineStr">
        <is>
          <t>Category</t>
        </is>
      </c>
      <c r="H1" s="4" t="inlineStr">
        <is>
          <t>Quantity</t>
        </is>
      </c>
      <c r="I1" s="4" t="inlineStr">
        <is>
          <t>Unit Price</t>
        </is>
      </c>
      <c r="J1" s="4" t="inlineStr">
        <is>
          <t>Revenue</t>
        </is>
      </c>
      <c r="K1" s="4" t="inlineStr">
        <is>
          <t>Payment Method</t>
        </is>
      </c>
      <c r="L1" s="4" t="inlineStr">
        <is>
          <t>Customer Type</t>
        </is>
      </c>
      <c r="M1" s="4" t="inlineStr">
        <is>
          <t>Salesperson</t>
        </is>
      </c>
    </row>
    <row r="2">
      <c r="A2" t="inlineStr">
        <is>
          <t>T0001</t>
        </is>
      </c>
      <c r="B2" s="5" t="n">
        <v>46080</v>
      </c>
      <c r="C2" s="6" t="n">
        <v>0.4583333333333333</v>
      </c>
      <c r="D2" t="inlineStr">
        <is>
          <t>Ananya</t>
        </is>
      </c>
      <c r="E2" t="inlineStr">
        <is>
          <t>North</t>
        </is>
      </c>
      <c r="F2" t="inlineStr">
        <is>
          <t>Laptop</t>
        </is>
      </c>
      <c r="G2" t="inlineStr">
        <is>
          <t>Electronics</t>
        </is>
      </c>
      <c r="H2" t="n">
        <v>3</v>
      </c>
      <c r="I2" s="7" t="n">
        <v>52194</v>
      </c>
      <c r="J2" s="7" t="n">
        <v>156582</v>
      </c>
      <c r="K2" t="inlineStr">
        <is>
          <t>Net Banking</t>
        </is>
      </c>
      <c r="L2" t="inlineStr">
        <is>
          <t>New</t>
        </is>
      </c>
      <c r="M2" t="inlineStr">
        <is>
          <t>Amit</t>
        </is>
      </c>
    </row>
    <row r="3">
      <c r="A3" t="inlineStr">
        <is>
          <t>T0002</t>
        </is>
      </c>
      <c r="B3" s="5" t="n">
        <v>46070</v>
      </c>
      <c r="C3" s="6" t="n">
        <v>0.375</v>
      </c>
      <c r="D3" t="inlineStr">
        <is>
          <t>Riya</t>
        </is>
      </c>
      <c r="E3" t="inlineStr">
        <is>
          <t>South</t>
        </is>
      </c>
      <c r="F3" t="inlineStr">
        <is>
          <t>Headphones</t>
        </is>
      </c>
      <c r="G3" t="inlineStr">
        <is>
          <t>Accessories</t>
        </is>
      </c>
      <c r="H3" t="n">
        <v>2</v>
      </c>
      <c r="I3" s="7" t="n">
        <v>3504</v>
      </c>
      <c r="J3" s="7" t="n">
        <v>7008</v>
      </c>
      <c r="K3" t="inlineStr">
        <is>
          <t>Net Banking</t>
        </is>
      </c>
      <c r="L3" t="inlineStr">
        <is>
          <t>New</t>
        </is>
      </c>
      <c r="M3" t="inlineStr">
        <is>
          <t>Sneha</t>
        </is>
      </c>
    </row>
    <row r="4">
      <c r="A4" t="inlineStr">
        <is>
          <t>T0003</t>
        </is>
      </c>
      <c r="B4" s="5" t="n">
        <v>46165</v>
      </c>
      <c r="C4" s="6" t="n">
        <v>0.5833333333333334</v>
      </c>
      <c r="D4" t="inlineStr">
        <is>
          <t>Kabir</t>
        </is>
      </c>
      <c r="E4" t="inlineStr">
        <is>
          <t>South</t>
        </is>
      </c>
      <c r="F4" t="inlineStr">
        <is>
          <t>Laptop</t>
        </is>
      </c>
      <c r="G4" t="inlineStr">
        <is>
          <t>Electronics</t>
        </is>
      </c>
      <c r="H4" t="n">
        <v>2</v>
      </c>
      <c r="I4" s="7" t="n">
        <v>57180</v>
      </c>
      <c r="J4" s="7" t="n">
        <v>114360</v>
      </c>
      <c r="K4" t="inlineStr">
        <is>
          <t>Card</t>
        </is>
      </c>
      <c r="L4" t="inlineStr">
        <is>
          <t>Returning</t>
        </is>
      </c>
      <c r="M4" t="inlineStr">
        <is>
          <t>Amit</t>
        </is>
      </c>
    </row>
    <row r="5">
      <c r="A5" t="inlineStr">
        <is>
          <t>T0004</t>
        </is>
      </c>
      <c r="B5" s="5" t="n">
        <v>46070</v>
      </c>
      <c r="C5" s="6" t="n">
        <v>0.5833333333333334</v>
      </c>
      <c r="D5" t="inlineStr">
        <is>
          <t>Pooja</t>
        </is>
      </c>
      <c r="E5" t="inlineStr">
        <is>
          <t>East</t>
        </is>
      </c>
      <c r="F5" t="inlineStr">
        <is>
          <t>Printer</t>
        </is>
      </c>
      <c r="G5" t="inlineStr">
        <is>
          <t>Office</t>
        </is>
      </c>
      <c r="H5" t="n">
        <v>1</v>
      </c>
      <c r="I5" s="7" t="n">
        <v>9232</v>
      </c>
      <c r="J5" s="7" t="n">
        <v>9232</v>
      </c>
      <c r="K5" t="inlineStr">
        <is>
          <t>UPI</t>
        </is>
      </c>
      <c r="L5" t="inlineStr">
        <is>
          <t>Returning</t>
        </is>
      </c>
      <c r="M5" t="inlineStr">
        <is>
          <t>Raj</t>
        </is>
      </c>
    </row>
    <row r="6">
      <c r="A6" t="inlineStr">
        <is>
          <t>T0005</t>
        </is>
      </c>
      <c r="B6" s="5" t="n">
        <v>46086</v>
      </c>
      <c r="C6" s="6" t="n">
        <v>0.7916666666666666</v>
      </c>
      <c r="D6" t="inlineStr">
        <is>
          <t>Pooja</t>
        </is>
      </c>
      <c r="E6" t="inlineStr">
        <is>
          <t>East</t>
        </is>
      </c>
      <c r="F6" t="inlineStr">
        <is>
          <t>Printer</t>
        </is>
      </c>
      <c r="G6" t="inlineStr">
        <is>
          <t>Office</t>
        </is>
      </c>
      <c r="H6" t="n">
        <v>1</v>
      </c>
      <c r="I6" s="7" t="n">
        <v>9599</v>
      </c>
      <c r="J6" s="7" t="n">
        <v>9599</v>
      </c>
      <c r="K6" t="inlineStr">
        <is>
          <t>Card</t>
        </is>
      </c>
      <c r="L6" t="inlineStr">
        <is>
          <t>New</t>
        </is>
      </c>
      <c r="M6" t="inlineStr">
        <is>
          <t>Amit</t>
        </is>
      </c>
    </row>
    <row r="7">
      <c r="A7" t="inlineStr">
        <is>
          <t>T0006</t>
        </is>
      </c>
      <c r="B7" s="5" t="n">
        <v>46139</v>
      </c>
      <c r="C7" s="6" t="n">
        <v>0.4166666666666667</v>
      </c>
      <c r="D7" t="inlineStr">
        <is>
          <t>Rahul</t>
        </is>
      </c>
      <c r="E7" t="inlineStr">
        <is>
          <t>East</t>
        </is>
      </c>
      <c r="F7" t="inlineStr">
        <is>
          <t>Keyboard</t>
        </is>
      </c>
      <c r="G7" t="inlineStr">
        <is>
          <t>Accessories</t>
        </is>
      </c>
      <c r="H7" t="n">
        <v>1</v>
      </c>
      <c r="I7" s="7" t="n">
        <v>1928</v>
      </c>
      <c r="J7" s="7" t="n">
        <v>1928</v>
      </c>
      <c r="K7" t="inlineStr">
        <is>
          <t>Net Banking</t>
        </is>
      </c>
      <c r="L7" t="inlineStr">
        <is>
          <t>Returning</t>
        </is>
      </c>
      <c r="M7" t="inlineStr">
        <is>
          <t>Neha</t>
        </is>
      </c>
    </row>
    <row r="8">
      <c r="A8" t="inlineStr">
        <is>
          <t>T0007</t>
        </is>
      </c>
      <c r="B8" s="5" t="n">
        <v>46212</v>
      </c>
      <c r="C8" s="6" t="n">
        <v>0.8333333333333334</v>
      </c>
      <c r="D8" t="inlineStr">
        <is>
          <t>Rohan</t>
        </is>
      </c>
      <c r="E8" t="inlineStr">
        <is>
          <t>South</t>
        </is>
      </c>
      <c r="F8" t="inlineStr">
        <is>
          <t>Monitor</t>
        </is>
      </c>
      <c r="G8" t="inlineStr">
        <is>
          <t>Electronics</t>
        </is>
      </c>
      <c r="H8" t="n">
        <v>2</v>
      </c>
      <c r="I8" s="7" t="n">
        <v>12408</v>
      </c>
      <c r="J8" s="7" t="n">
        <v>24816</v>
      </c>
      <c r="K8" t="inlineStr">
        <is>
          <t>Card</t>
        </is>
      </c>
      <c r="L8" t="inlineStr">
        <is>
          <t>New</t>
        </is>
      </c>
      <c r="M8" t="inlineStr">
        <is>
          <t>Sneha</t>
        </is>
      </c>
    </row>
    <row r="9">
      <c r="A9" t="inlineStr">
        <is>
          <t>T0008</t>
        </is>
      </c>
      <c r="B9" s="5" t="n">
        <v>46217</v>
      </c>
      <c r="C9" s="6" t="n">
        <v>0.5833333333333334</v>
      </c>
      <c r="D9" t="inlineStr">
        <is>
          <t>Diya</t>
        </is>
      </c>
      <c r="E9" t="inlineStr">
        <is>
          <t>South</t>
        </is>
      </c>
      <c r="F9" t="inlineStr">
        <is>
          <t>Keyboard</t>
        </is>
      </c>
      <c r="G9" t="inlineStr">
        <is>
          <t>Accessories</t>
        </is>
      </c>
      <c r="H9" t="n">
        <v>5</v>
      </c>
      <c r="I9" s="7" t="n">
        <v>1699</v>
      </c>
      <c r="J9" s="7" t="n">
        <v>8495</v>
      </c>
      <c r="K9" t="inlineStr">
        <is>
          <t>UPI</t>
        </is>
      </c>
      <c r="L9" t="inlineStr">
        <is>
          <t>Returning</t>
        </is>
      </c>
      <c r="M9" t="inlineStr">
        <is>
          <t>Sneha</t>
        </is>
      </c>
    </row>
    <row r="10">
      <c r="A10" t="inlineStr">
        <is>
          <t>T0009</t>
        </is>
      </c>
      <c r="B10" s="5" t="n">
        <v>46160</v>
      </c>
      <c r="C10" s="6" t="n">
        <v>0.75</v>
      </c>
      <c r="D10" t="inlineStr">
        <is>
          <t>Aditya</t>
        </is>
      </c>
      <c r="E10" t="inlineStr">
        <is>
          <t>South</t>
        </is>
      </c>
      <c r="F10" t="inlineStr">
        <is>
          <t>Smartphone</t>
        </is>
      </c>
      <c r="G10" t="inlineStr">
        <is>
          <t>Electronics</t>
        </is>
      </c>
      <c r="H10" t="n">
        <v>2</v>
      </c>
      <c r="I10" s="7" t="n">
        <v>30314</v>
      </c>
      <c r="J10" s="7" t="n">
        <v>60628</v>
      </c>
      <c r="K10" t="inlineStr">
        <is>
          <t>Net Banking</t>
        </is>
      </c>
      <c r="L10" t="inlineStr">
        <is>
          <t>Returning</t>
        </is>
      </c>
      <c r="M10" t="inlineStr">
        <is>
          <t>Sneha</t>
        </is>
      </c>
    </row>
    <row r="11">
      <c r="A11" t="inlineStr">
        <is>
          <t>T0010</t>
        </is>
      </c>
      <c r="B11" s="5" t="n">
        <v>46096</v>
      </c>
      <c r="C11" s="6" t="n">
        <v>0.7083333333333334</v>
      </c>
      <c r="D11" t="inlineStr">
        <is>
          <t>Riya</t>
        </is>
      </c>
      <c r="E11" t="inlineStr">
        <is>
          <t>East</t>
        </is>
      </c>
      <c r="F11" t="inlineStr">
        <is>
          <t>Keyboard</t>
        </is>
      </c>
      <c r="G11" t="inlineStr">
        <is>
          <t>Accessories</t>
        </is>
      </c>
      <c r="H11" t="n">
        <v>2</v>
      </c>
      <c r="I11" s="7" t="n">
        <v>1709</v>
      </c>
      <c r="J11" s="7" t="n">
        <v>3418</v>
      </c>
      <c r="K11" t="inlineStr">
        <is>
          <t>Net Banking</t>
        </is>
      </c>
      <c r="L11" t="inlineStr">
        <is>
          <t>Returning</t>
        </is>
      </c>
      <c r="M11" t="inlineStr">
        <is>
          <t>Kunal</t>
        </is>
      </c>
    </row>
    <row r="12">
      <c r="A12" t="inlineStr">
        <is>
          <t>T0011</t>
        </is>
      </c>
      <c r="B12" s="5" t="n">
        <v>46135</v>
      </c>
      <c r="C12" s="6" t="n">
        <v>0.375</v>
      </c>
      <c r="D12" t="inlineStr">
        <is>
          <t>Ananya</t>
        </is>
      </c>
      <c r="E12" t="inlineStr">
        <is>
          <t>South</t>
        </is>
      </c>
      <c r="F12" t="inlineStr">
        <is>
          <t>Tablet</t>
        </is>
      </c>
      <c r="G12" t="inlineStr">
        <is>
          <t>Electronics</t>
        </is>
      </c>
      <c r="H12" t="n">
        <v>5</v>
      </c>
      <c r="I12" s="7" t="n">
        <v>17977</v>
      </c>
      <c r="J12" s="7" t="n">
        <v>89885</v>
      </c>
      <c r="K12" t="inlineStr">
        <is>
          <t>Card</t>
        </is>
      </c>
      <c r="L12" t="inlineStr">
        <is>
          <t>Returning</t>
        </is>
      </c>
      <c r="M12" t="inlineStr">
        <is>
          <t>Raj</t>
        </is>
      </c>
    </row>
    <row r="13">
      <c r="A13" t="inlineStr">
        <is>
          <t>T0012</t>
        </is>
      </c>
      <c r="B13" s="5" t="n">
        <v>46055</v>
      </c>
      <c r="C13" s="6" t="n">
        <v>0.6666666666666666</v>
      </c>
      <c r="D13" t="inlineStr">
        <is>
          <t>Yash</t>
        </is>
      </c>
      <c r="E13" t="inlineStr">
        <is>
          <t>East</t>
        </is>
      </c>
      <c r="F13" t="inlineStr">
        <is>
          <t>Printer</t>
        </is>
      </c>
      <c r="G13" t="inlineStr">
        <is>
          <t>Office</t>
        </is>
      </c>
      <c r="H13" t="n">
        <v>4</v>
      </c>
      <c r="I13" s="7" t="n">
        <v>9682</v>
      </c>
      <c r="J13" s="7" t="n">
        <v>38728</v>
      </c>
      <c r="K13" t="inlineStr">
        <is>
          <t>UPI</t>
        </is>
      </c>
      <c r="L13" t="inlineStr">
        <is>
          <t>New</t>
        </is>
      </c>
      <c r="M13" t="inlineStr">
        <is>
          <t>Raj</t>
        </is>
      </c>
    </row>
    <row r="14">
      <c r="A14" t="inlineStr">
        <is>
          <t>T0013</t>
        </is>
      </c>
      <c r="B14" s="5" t="n">
        <v>46159</v>
      </c>
      <c r="C14" s="6" t="n">
        <v>0.4583333333333333</v>
      </c>
      <c r="D14" t="inlineStr">
        <is>
          <t>Karan</t>
        </is>
      </c>
      <c r="E14" t="inlineStr">
        <is>
          <t>North</t>
        </is>
      </c>
      <c r="F14" t="inlineStr">
        <is>
          <t>Monitor</t>
        </is>
      </c>
      <c r="G14" t="inlineStr">
        <is>
          <t>Electronics</t>
        </is>
      </c>
      <c r="H14" t="n">
        <v>1</v>
      </c>
      <c r="I14" s="7" t="n">
        <v>11504</v>
      </c>
      <c r="J14" s="7" t="n">
        <v>11504</v>
      </c>
      <c r="K14" t="inlineStr">
        <is>
          <t>Cash</t>
        </is>
      </c>
      <c r="L14" t="inlineStr">
        <is>
          <t>New</t>
        </is>
      </c>
      <c r="M14" t="inlineStr">
        <is>
          <t>Raj</t>
        </is>
      </c>
    </row>
    <row r="15">
      <c r="A15" t="inlineStr">
        <is>
          <t>T0014</t>
        </is>
      </c>
      <c r="B15" s="5" t="n">
        <v>46077</v>
      </c>
      <c r="C15" s="6" t="n">
        <v>0.4583333333333333</v>
      </c>
      <c r="D15" t="inlineStr">
        <is>
          <t>Priya</t>
        </is>
      </c>
      <c r="E15" t="inlineStr">
        <is>
          <t>South</t>
        </is>
      </c>
      <c r="F15" t="inlineStr">
        <is>
          <t>Keyboard</t>
        </is>
      </c>
      <c r="G15" t="inlineStr">
        <is>
          <t>Accessories</t>
        </is>
      </c>
      <c r="H15" t="n">
        <v>5</v>
      </c>
      <c r="I15" s="7" t="n">
        <v>1839</v>
      </c>
      <c r="J15" s="7" t="n">
        <v>9195</v>
      </c>
      <c r="K15" t="inlineStr">
        <is>
          <t>UPI</t>
        </is>
      </c>
      <c r="L15" t="inlineStr">
        <is>
          <t>Returning</t>
        </is>
      </c>
      <c r="M15" t="inlineStr">
        <is>
          <t>Sneha</t>
        </is>
      </c>
    </row>
    <row r="16">
      <c r="A16" t="inlineStr">
        <is>
          <t>T0015</t>
        </is>
      </c>
      <c r="B16" s="5" t="n">
        <v>46032</v>
      </c>
      <c r="C16" s="6" t="n">
        <v>0.5416666666666666</v>
      </c>
      <c r="D16" t="inlineStr">
        <is>
          <t>Meera</t>
        </is>
      </c>
      <c r="E16" t="inlineStr">
        <is>
          <t>North</t>
        </is>
      </c>
      <c r="F16" t="inlineStr">
        <is>
          <t>Smartphone</t>
        </is>
      </c>
      <c r="G16" t="inlineStr">
        <is>
          <t>Electronics</t>
        </is>
      </c>
      <c r="H16" t="n">
        <v>3</v>
      </c>
      <c r="I16" s="7" t="n">
        <v>30121</v>
      </c>
      <c r="J16" s="7" t="n">
        <v>90363</v>
      </c>
      <c r="K16" t="inlineStr">
        <is>
          <t>Card</t>
        </is>
      </c>
      <c r="L16" t="inlineStr">
        <is>
          <t>New</t>
        </is>
      </c>
      <c r="M16" t="inlineStr">
        <is>
          <t>Amit</t>
        </is>
      </c>
    </row>
    <row r="17">
      <c r="A17" t="inlineStr">
        <is>
          <t>T0016</t>
        </is>
      </c>
      <c r="B17" s="5" t="n">
        <v>46271</v>
      </c>
      <c r="C17" s="6" t="n">
        <v>0.4583333333333333</v>
      </c>
      <c r="D17" t="inlineStr">
        <is>
          <t>Aditi</t>
        </is>
      </c>
      <c r="E17" t="inlineStr">
        <is>
          <t>South</t>
        </is>
      </c>
      <c r="F17" t="inlineStr">
        <is>
          <t>Smartphone</t>
        </is>
      </c>
      <c r="G17" t="inlineStr">
        <is>
          <t>Electronics</t>
        </is>
      </c>
      <c r="H17" t="n">
        <v>5</v>
      </c>
      <c r="I17" s="7" t="n">
        <v>29489</v>
      </c>
      <c r="J17" s="7" t="n">
        <v>147445</v>
      </c>
      <c r="K17" t="inlineStr">
        <is>
          <t>Cash</t>
        </is>
      </c>
      <c r="L17" t="inlineStr">
        <is>
          <t>Returning</t>
        </is>
      </c>
      <c r="M17" t="inlineStr">
        <is>
          <t>Neha</t>
        </is>
      </c>
    </row>
    <row r="18">
      <c r="A18" t="inlineStr">
        <is>
          <t>T0017</t>
        </is>
      </c>
      <c r="B18" s="5" t="n">
        <v>46125</v>
      </c>
      <c r="C18" s="6" t="n">
        <v>0.7916666666666666</v>
      </c>
      <c r="D18" t="inlineStr">
        <is>
          <t>Priya</t>
        </is>
      </c>
      <c r="E18" t="inlineStr">
        <is>
          <t>West</t>
        </is>
      </c>
      <c r="F18" t="inlineStr">
        <is>
          <t>Keyboard</t>
        </is>
      </c>
      <c r="G18" t="inlineStr">
        <is>
          <t>Accessories</t>
        </is>
      </c>
      <c r="H18" t="n">
        <v>4</v>
      </c>
      <c r="I18" s="7" t="n">
        <v>1978</v>
      </c>
      <c r="J18" s="7" t="n">
        <v>7912</v>
      </c>
      <c r="K18" t="inlineStr">
        <is>
          <t>Net Banking</t>
        </is>
      </c>
      <c r="L18" t="inlineStr">
        <is>
          <t>New</t>
        </is>
      </c>
      <c r="M18" t="inlineStr">
        <is>
          <t>Neha</t>
        </is>
      </c>
    </row>
    <row r="19">
      <c r="A19" t="inlineStr">
        <is>
          <t>T0018</t>
        </is>
      </c>
      <c r="B19" s="5" t="n">
        <v>46138</v>
      </c>
      <c r="C19" s="6" t="n">
        <v>0.7083333333333334</v>
      </c>
      <c r="D19" t="inlineStr">
        <is>
          <t>Meera</t>
        </is>
      </c>
      <c r="E19" t="inlineStr">
        <is>
          <t>South</t>
        </is>
      </c>
      <c r="F19" t="inlineStr">
        <is>
          <t>Smartphone</t>
        </is>
      </c>
      <c r="G19" t="inlineStr">
        <is>
          <t>Electronics</t>
        </is>
      </c>
      <c r="H19" t="n">
        <v>3</v>
      </c>
      <c r="I19" s="7" t="n">
        <v>25318</v>
      </c>
      <c r="J19" s="7" t="n">
        <v>75954</v>
      </c>
      <c r="K19" t="inlineStr">
        <is>
          <t>UPI</t>
        </is>
      </c>
      <c r="L19" t="inlineStr">
        <is>
          <t>New</t>
        </is>
      </c>
      <c r="M19" t="inlineStr">
        <is>
          <t>Amit</t>
        </is>
      </c>
    </row>
    <row r="20">
      <c r="A20" t="inlineStr">
        <is>
          <t>T0019</t>
        </is>
      </c>
      <c r="B20" s="5" t="n">
        <v>46140</v>
      </c>
      <c r="C20" s="6" t="n">
        <v>0.4166666666666667</v>
      </c>
      <c r="D20" t="inlineStr">
        <is>
          <t>Yash</t>
        </is>
      </c>
      <c r="E20" t="inlineStr">
        <is>
          <t>South</t>
        </is>
      </c>
      <c r="F20" t="inlineStr">
        <is>
          <t>Smartphone</t>
        </is>
      </c>
      <c r="G20" t="inlineStr">
        <is>
          <t>Electronics</t>
        </is>
      </c>
      <c r="H20" t="n">
        <v>1</v>
      </c>
      <c r="I20" s="7" t="n">
        <v>30014</v>
      </c>
      <c r="J20" s="7" t="n">
        <v>30014</v>
      </c>
      <c r="K20" t="inlineStr">
        <is>
          <t>Cash</t>
        </is>
      </c>
      <c r="L20" t="inlineStr">
        <is>
          <t>Returning</t>
        </is>
      </c>
      <c r="M20" t="inlineStr">
        <is>
          <t>Neha</t>
        </is>
      </c>
    </row>
    <row r="21">
      <c r="A21" t="inlineStr">
        <is>
          <t>T0020</t>
        </is>
      </c>
      <c r="B21" s="5" t="n">
        <v>46090</v>
      </c>
      <c r="C21" s="6" t="n">
        <v>0.625</v>
      </c>
      <c r="D21" t="inlineStr">
        <is>
          <t>Arjun</t>
        </is>
      </c>
      <c r="E21" t="inlineStr">
        <is>
          <t>North</t>
        </is>
      </c>
      <c r="F21" t="inlineStr">
        <is>
          <t>Chair</t>
        </is>
      </c>
      <c r="G21" t="inlineStr">
        <is>
          <t>Furniture</t>
        </is>
      </c>
      <c r="H21" t="n">
        <v>2</v>
      </c>
      <c r="I21" s="7" t="n">
        <v>7398</v>
      </c>
      <c r="J21" s="7" t="n">
        <v>14796</v>
      </c>
      <c r="K21" t="inlineStr">
        <is>
          <t>UPI</t>
        </is>
      </c>
      <c r="L21" t="inlineStr">
        <is>
          <t>Returning</t>
        </is>
      </c>
      <c r="M21" t="inlineStr">
        <is>
          <t>Kunal</t>
        </is>
      </c>
    </row>
    <row r="22">
      <c r="A22" t="inlineStr">
        <is>
          <t>T0021</t>
        </is>
      </c>
      <c r="B22" s="5" t="n">
        <v>46239</v>
      </c>
      <c r="C22" s="6" t="n">
        <v>0.375</v>
      </c>
      <c r="D22" t="inlineStr">
        <is>
          <t>Ananya</t>
        </is>
      </c>
      <c r="E22" t="inlineStr">
        <is>
          <t>North</t>
        </is>
      </c>
      <c r="F22" t="inlineStr">
        <is>
          <t>Printer</t>
        </is>
      </c>
      <c r="G22" t="inlineStr">
        <is>
          <t>Office</t>
        </is>
      </c>
      <c r="H22" t="n">
        <v>4</v>
      </c>
      <c r="I22" s="7" t="n">
        <v>10191</v>
      </c>
      <c r="J22" s="7" t="n">
        <v>40764</v>
      </c>
      <c r="K22" t="inlineStr">
        <is>
          <t>Net Banking</t>
        </is>
      </c>
      <c r="L22" t="inlineStr">
        <is>
          <t>Returning</t>
        </is>
      </c>
      <c r="M22" t="inlineStr">
        <is>
          <t>Amit</t>
        </is>
      </c>
    </row>
    <row r="23">
      <c r="A23" t="inlineStr">
        <is>
          <t>T0022</t>
        </is>
      </c>
      <c r="B23" s="5" t="n">
        <v>46150</v>
      </c>
      <c r="C23" s="6" t="n">
        <v>0.4583333333333333</v>
      </c>
      <c r="D23" t="inlineStr">
        <is>
          <t>Nisha</t>
        </is>
      </c>
      <c r="E23" t="inlineStr">
        <is>
          <t>South</t>
        </is>
      </c>
      <c r="F23" t="inlineStr">
        <is>
          <t>Headphones</t>
        </is>
      </c>
      <c r="G23" t="inlineStr">
        <is>
          <t>Accessories</t>
        </is>
      </c>
      <c r="H23" t="n">
        <v>2</v>
      </c>
      <c r="I23" s="7" t="n">
        <v>3525</v>
      </c>
      <c r="J23" s="7" t="n">
        <v>7050</v>
      </c>
      <c r="K23" t="inlineStr">
        <is>
          <t>Cash</t>
        </is>
      </c>
      <c r="L23" t="inlineStr">
        <is>
          <t>Returning</t>
        </is>
      </c>
      <c r="M23" t="inlineStr">
        <is>
          <t>Neha</t>
        </is>
      </c>
    </row>
    <row r="24">
      <c r="A24" t="inlineStr">
        <is>
          <t>T0023</t>
        </is>
      </c>
      <c r="B24" s="5" t="n">
        <v>46061</v>
      </c>
      <c r="C24" s="6" t="n">
        <v>0.7916666666666666</v>
      </c>
      <c r="D24" t="inlineStr">
        <is>
          <t>Riya</t>
        </is>
      </c>
      <c r="E24" t="inlineStr">
        <is>
          <t>North</t>
        </is>
      </c>
      <c r="F24" t="inlineStr">
        <is>
          <t>Chair</t>
        </is>
      </c>
      <c r="G24" t="inlineStr">
        <is>
          <t>Furniture</t>
        </is>
      </c>
      <c r="H24" t="n">
        <v>5</v>
      </c>
      <c r="I24" s="7" t="n">
        <v>6437</v>
      </c>
      <c r="J24" s="7" t="n">
        <v>32185</v>
      </c>
      <c r="K24" t="inlineStr">
        <is>
          <t>UPI</t>
        </is>
      </c>
      <c r="L24" t="inlineStr">
        <is>
          <t>New</t>
        </is>
      </c>
      <c r="M24" t="inlineStr">
        <is>
          <t>Neha</t>
        </is>
      </c>
    </row>
    <row r="25">
      <c r="A25" t="inlineStr">
        <is>
          <t>T0024</t>
        </is>
      </c>
      <c r="B25" s="5" t="n">
        <v>46231</v>
      </c>
      <c r="C25" s="6" t="n">
        <v>0.625</v>
      </c>
      <c r="D25" t="inlineStr">
        <is>
          <t>Diya</t>
        </is>
      </c>
      <c r="E25" t="inlineStr">
        <is>
          <t>South</t>
        </is>
      </c>
      <c r="F25" t="inlineStr">
        <is>
          <t>Chair</t>
        </is>
      </c>
      <c r="G25" t="inlineStr">
        <is>
          <t>Furniture</t>
        </is>
      </c>
      <c r="H25" t="n">
        <v>4</v>
      </c>
      <c r="I25" s="7" t="n">
        <v>6599</v>
      </c>
      <c r="J25" s="7" t="n">
        <v>26396</v>
      </c>
      <c r="K25" t="inlineStr">
        <is>
          <t>Net Banking</t>
        </is>
      </c>
      <c r="L25" t="inlineStr">
        <is>
          <t>New</t>
        </is>
      </c>
      <c r="M25" t="inlineStr">
        <is>
          <t>Sneha</t>
        </is>
      </c>
    </row>
    <row r="26">
      <c r="A26" t="inlineStr">
        <is>
          <t>T0025</t>
        </is>
      </c>
      <c r="B26" s="5" t="n">
        <v>46158</v>
      </c>
      <c r="C26" s="6" t="n">
        <v>0.8333333333333334</v>
      </c>
      <c r="D26" t="inlineStr">
        <is>
          <t>Riya</t>
        </is>
      </c>
      <c r="E26" t="inlineStr">
        <is>
          <t>West</t>
        </is>
      </c>
      <c r="F26" t="inlineStr">
        <is>
          <t>Chair</t>
        </is>
      </c>
      <c r="G26" t="inlineStr">
        <is>
          <t>Furniture</t>
        </is>
      </c>
      <c r="H26" t="n">
        <v>3</v>
      </c>
      <c r="I26" s="7" t="n">
        <v>6892</v>
      </c>
      <c r="J26" s="7" t="n">
        <v>20676</v>
      </c>
      <c r="K26" t="inlineStr">
        <is>
          <t>Card</t>
        </is>
      </c>
      <c r="L26" t="inlineStr">
        <is>
          <t>New</t>
        </is>
      </c>
      <c r="M26" t="inlineStr">
        <is>
          <t>Kunal</t>
        </is>
      </c>
    </row>
    <row r="27">
      <c r="A27" t="inlineStr">
        <is>
          <t>T0026</t>
        </is>
      </c>
      <c r="B27" s="5" t="n">
        <v>46134</v>
      </c>
      <c r="C27" s="6" t="n">
        <v>0.375</v>
      </c>
      <c r="D27" t="inlineStr">
        <is>
          <t>Aditya</t>
        </is>
      </c>
      <c r="E27" t="inlineStr">
        <is>
          <t>North</t>
        </is>
      </c>
      <c r="F27" t="inlineStr">
        <is>
          <t>Laptop</t>
        </is>
      </c>
      <c r="G27" t="inlineStr">
        <is>
          <t>Electronics</t>
        </is>
      </c>
      <c r="H27" t="n">
        <v>5</v>
      </c>
      <c r="I27" s="7" t="n">
        <v>57593</v>
      </c>
      <c r="J27" s="7" t="n">
        <v>287965</v>
      </c>
      <c r="K27" t="inlineStr">
        <is>
          <t>UPI</t>
        </is>
      </c>
      <c r="L27" t="inlineStr">
        <is>
          <t>Returning</t>
        </is>
      </c>
      <c r="M27" t="inlineStr">
        <is>
          <t>Raj</t>
        </is>
      </c>
    </row>
    <row r="28">
      <c r="A28" t="inlineStr">
        <is>
          <t>T0027</t>
        </is>
      </c>
      <c r="B28" s="5" t="n">
        <v>46294</v>
      </c>
      <c r="C28" s="6" t="n">
        <v>0.4166666666666667</v>
      </c>
      <c r="D28" t="inlineStr">
        <is>
          <t>Ishita</t>
        </is>
      </c>
      <c r="E28" t="inlineStr">
        <is>
          <t>North</t>
        </is>
      </c>
      <c r="F28" t="inlineStr">
        <is>
          <t>Tablet</t>
        </is>
      </c>
      <c r="G28" t="inlineStr">
        <is>
          <t>Electronics</t>
        </is>
      </c>
      <c r="H28" t="n">
        <v>1</v>
      </c>
      <c r="I28" s="7" t="n">
        <v>19659</v>
      </c>
      <c r="J28" s="7" t="n">
        <v>19659</v>
      </c>
      <c r="K28" t="inlineStr">
        <is>
          <t>UPI</t>
        </is>
      </c>
      <c r="L28" t="inlineStr">
        <is>
          <t>New</t>
        </is>
      </c>
      <c r="M28" t="inlineStr">
        <is>
          <t>Sneha</t>
        </is>
      </c>
    </row>
    <row r="29">
      <c r="A29" t="inlineStr">
        <is>
          <t>T0028</t>
        </is>
      </c>
      <c r="B29" s="5" t="n">
        <v>46084</v>
      </c>
      <c r="C29" s="6" t="n">
        <v>0.75</v>
      </c>
      <c r="D29" t="inlineStr">
        <is>
          <t>Rohan</t>
        </is>
      </c>
      <c r="E29" t="inlineStr">
        <is>
          <t>West</t>
        </is>
      </c>
      <c r="F29" t="inlineStr">
        <is>
          <t>Headphones</t>
        </is>
      </c>
      <c r="G29" t="inlineStr">
        <is>
          <t>Accessories</t>
        </is>
      </c>
      <c r="H29" t="n">
        <v>5</v>
      </c>
      <c r="I29" s="7" t="n">
        <v>3566</v>
      </c>
      <c r="J29" s="7" t="n">
        <v>17830</v>
      </c>
      <c r="K29" t="inlineStr">
        <is>
          <t>Cash</t>
        </is>
      </c>
      <c r="L29" t="inlineStr">
        <is>
          <t>Returning</t>
        </is>
      </c>
      <c r="M29" t="inlineStr">
        <is>
          <t>Neha</t>
        </is>
      </c>
    </row>
    <row r="30">
      <c r="A30" t="inlineStr">
        <is>
          <t>T0029</t>
        </is>
      </c>
      <c r="B30" s="5" t="n">
        <v>46183</v>
      </c>
      <c r="C30" s="6" t="n">
        <v>0.7916666666666666</v>
      </c>
      <c r="D30" t="inlineStr">
        <is>
          <t>Saanvi</t>
        </is>
      </c>
      <c r="E30" t="inlineStr">
        <is>
          <t>West</t>
        </is>
      </c>
      <c r="F30" t="inlineStr">
        <is>
          <t>Headphones</t>
        </is>
      </c>
      <c r="G30" t="inlineStr">
        <is>
          <t>Accessories</t>
        </is>
      </c>
      <c r="H30" t="n">
        <v>3</v>
      </c>
      <c r="I30" s="7" t="n">
        <v>3427</v>
      </c>
      <c r="J30" s="7" t="n">
        <v>10281</v>
      </c>
      <c r="K30" t="inlineStr">
        <is>
          <t>Cash</t>
        </is>
      </c>
      <c r="L30" t="inlineStr">
        <is>
          <t>New</t>
        </is>
      </c>
      <c r="M30" t="inlineStr">
        <is>
          <t>Amit</t>
        </is>
      </c>
    </row>
    <row r="31">
      <c r="A31" t="inlineStr">
        <is>
          <t>T0030</t>
        </is>
      </c>
      <c r="B31" s="5" t="n">
        <v>46257</v>
      </c>
      <c r="C31" s="6" t="n">
        <v>0.7083333333333334</v>
      </c>
      <c r="D31" t="inlineStr">
        <is>
          <t>Kabir</t>
        </is>
      </c>
      <c r="E31" t="inlineStr">
        <is>
          <t>South</t>
        </is>
      </c>
      <c r="F31" t="inlineStr">
        <is>
          <t>Smartphone</t>
        </is>
      </c>
      <c r="G31" t="inlineStr">
        <is>
          <t>Electronics</t>
        </is>
      </c>
      <c r="H31" t="n">
        <v>1</v>
      </c>
      <c r="I31" s="7" t="n">
        <v>28211</v>
      </c>
      <c r="J31" s="7" t="n">
        <v>28211</v>
      </c>
      <c r="K31" t="inlineStr">
        <is>
          <t>Cash</t>
        </is>
      </c>
      <c r="L31" t="inlineStr">
        <is>
          <t>New</t>
        </is>
      </c>
      <c r="M31" t="inlineStr">
        <is>
          <t>Neha</t>
        </is>
      </c>
    </row>
    <row r="32">
      <c r="A32" t="inlineStr">
        <is>
          <t>T0031</t>
        </is>
      </c>
      <c r="B32" s="5" t="n">
        <v>46212</v>
      </c>
      <c r="C32" s="6" t="n">
        <v>0.7083333333333334</v>
      </c>
      <c r="D32" t="inlineStr">
        <is>
          <t>Saanvi</t>
        </is>
      </c>
      <c r="E32" t="inlineStr">
        <is>
          <t>North</t>
        </is>
      </c>
      <c r="F32" t="inlineStr">
        <is>
          <t>Keyboard</t>
        </is>
      </c>
      <c r="G32" t="inlineStr">
        <is>
          <t>Accessories</t>
        </is>
      </c>
      <c r="H32" t="n">
        <v>2</v>
      </c>
      <c r="I32" s="7" t="n">
        <v>1778</v>
      </c>
      <c r="J32" s="7" t="n">
        <v>3556</v>
      </c>
      <c r="K32" t="inlineStr">
        <is>
          <t>Cash</t>
        </is>
      </c>
      <c r="L32" t="inlineStr">
        <is>
          <t>New</t>
        </is>
      </c>
      <c r="M32" t="inlineStr">
        <is>
          <t>Neha</t>
        </is>
      </c>
    </row>
    <row r="33">
      <c r="A33" t="inlineStr">
        <is>
          <t>T0032</t>
        </is>
      </c>
      <c r="B33" s="5" t="n">
        <v>46158</v>
      </c>
      <c r="C33" s="6" t="n">
        <v>0.4583333333333333</v>
      </c>
      <c r="D33" t="inlineStr">
        <is>
          <t>Kabir</t>
        </is>
      </c>
      <c r="E33" t="inlineStr">
        <is>
          <t>East</t>
        </is>
      </c>
      <c r="F33" t="inlineStr">
        <is>
          <t>Smartphone</t>
        </is>
      </c>
      <c r="G33" t="inlineStr">
        <is>
          <t>Electronics</t>
        </is>
      </c>
      <c r="H33" t="n">
        <v>1</v>
      </c>
      <c r="I33" s="7" t="n">
        <v>29358</v>
      </c>
      <c r="J33" s="7" t="n">
        <v>29358</v>
      </c>
      <c r="K33" t="inlineStr">
        <is>
          <t>Card</t>
        </is>
      </c>
      <c r="L33" t="inlineStr">
        <is>
          <t>Returning</t>
        </is>
      </c>
      <c r="M33" t="inlineStr">
        <is>
          <t>Neha</t>
        </is>
      </c>
    </row>
    <row r="34">
      <c r="A34" t="inlineStr">
        <is>
          <t>T0033</t>
        </is>
      </c>
      <c r="B34" s="5" t="n">
        <v>46158</v>
      </c>
      <c r="C34" s="6" t="n">
        <v>0.375</v>
      </c>
      <c r="D34" t="inlineStr">
        <is>
          <t>Rohan</t>
        </is>
      </c>
      <c r="E34" t="inlineStr">
        <is>
          <t>West</t>
        </is>
      </c>
      <c r="F34" t="inlineStr">
        <is>
          <t>Chair</t>
        </is>
      </c>
      <c r="G34" t="inlineStr">
        <is>
          <t>Furniture</t>
        </is>
      </c>
      <c r="H34" t="n">
        <v>3</v>
      </c>
      <c r="I34" s="7" t="n">
        <v>7567</v>
      </c>
      <c r="J34" s="7" t="n">
        <v>22701</v>
      </c>
      <c r="K34" t="inlineStr">
        <is>
          <t>Cash</t>
        </is>
      </c>
      <c r="L34" t="inlineStr">
        <is>
          <t>New</t>
        </is>
      </c>
      <c r="M34" t="inlineStr">
        <is>
          <t>Amit</t>
        </is>
      </c>
    </row>
    <row r="35">
      <c r="A35" t="inlineStr">
        <is>
          <t>T0034</t>
        </is>
      </c>
      <c r="B35" s="5" t="n">
        <v>46193</v>
      </c>
      <c r="C35" s="6" t="n">
        <v>0.6666666666666666</v>
      </c>
      <c r="D35" t="inlineStr">
        <is>
          <t>Riya</t>
        </is>
      </c>
      <c r="E35" t="inlineStr">
        <is>
          <t>West</t>
        </is>
      </c>
      <c r="F35" t="inlineStr">
        <is>
          <t>Tablet</t>
        </is>
      </c>
      <c r="G35" t="inlineStr">
        <is>
          <t>Electronics</t>
        </is>
      </c>
      <c r="H35" t="n">
        <v>3</v>
      </c>
      <c r="I35" s="7" t="n">
        <v>16782</v>
      </c>
      <c r="J35" s="7" t="n">
        <v>50346</v>
      </c>
      <c r="K35" t="inlineStr">
        <is>
          <t>UPI</t>
        </is>
      </c>
      <c r="L35" t="inlineStr">
        <is>
          <t>New</t>
        </is>
      </c>
      <c r="M35" t="inlineStr">
        <is>
          <t>Amit</t>
        </is>
      </c>
    </row>
    <row r="36">
      <c r="A36" t="inlineStr">
        <is>
          <t>T0035</t>
        </is>
      </c>
      <c r="B36" s="5" t="n">
        <v>46099</v>
      </c>
      <c r="C36" s="6" t="n">
        <v>0.4583333333333333</v>
      </c>
      <c r="D36" t="inlineStr">
        <is>
          <t>Nisha</t>
        </is>
      </c>
      <c r="E36" t="inlineStr">
        <is>
          <t>South</t>
        </is>
      </c>
      <c r="F36" t="inlineStr">
        <is>
          <t>Laptop</t>
        </is>
      </c>
      <c r="G36" t="inlineStr">
        <is>
          <t>Electronics</t>
        </is>
      </c>
      <c r="H36" t="n">
        <v>3</v>
      </c>
      <c r="I36" s="7" t="n">
        <v>55908</v>
      </c>
      <c r="J36" s="7" t="n">
        <v>167724</v>
      </c>
      <c r="K36" t="inlineStr">
        <is>
          <t>UPI</t>
        </is>
      </c>
      <c r="L36" t="inlineStr">
        <is>
          <t>Returning</t>
        </is>
      </c>
      <c r="M36" t="inlineStr">
        <is>
          <t>Kunal</t>
        </is>
      </c>
    </row>
    <row r="37">
      <c r="A37" t="inlineStr">
        <is>
          <t>T0036</t>
        </is>
      </c>
      <c r="B37" s="5" t="n">
        <v>46043</v>
      </c>
      <c r="C37" s="6" t="n">
        <v>0.7916666666666666</v>
      </c>
      <c r="D37" t="inlineStr">
        <is>
          <t>Ananya</t>
        </is>
      </c>
      <c r="E37" t="inlineStr">
        <is>
          <t>East</t>
        </is>
      </c>
      <c r="F37" t="inlineStr">
        <is>
          <t>Monitor</t>
        </is>
      </c>
      <c r="G37" t="inlineStr">
        <is>
          <t>Electronics</t>
        </is>
      </c>
      <c r="H37" t="n">
        <v>2</v>
      </c>
      <c r="I37" s="7" t="n">
        <v>12437</v>
      </c>
      <c r="J37" s="7" t="n">
        <v>24874</v>
      </c>
      <c r="K37" t="inlineStr">
        <is>
          <t>Net Banking</t>
        </is>
      </c>
      <c r="L37" t="inlineStr">
        <is>
          <t>New</t>
        </is>
      </c>
      <c r="M37" t="inlineStr">
        <is>
          <t>Neha</t>
        </is>
      </c>
    </row>
    <row r="38">
      <c r="A38" t="inlineStr">
        <is>
          <t>T0037</t>
        </is>
      </c>
      <c r="B38" s="5" t="n">
        <v>46106</v>
      </c>
      <c r="C38" s="6" t="n">
        <v>0.8333333333333334</v>
      </c>
      <c r="D38" t="inlineStr">
        <is>
          <t>Aditya</t>
        </is>
      </c>
      <c r="E38" t="inlineStr">
        <is>
          <t>West</t>
        </is>
      </c>
      <c r="F38" t="inlineStr">
        <is>
          <t>Tablet</t>
        </is>
      </c>
      <c r="G38" t="inlineStr">
        <is>
          <t>Electronics</t>
        </is>
      </c>
      <c r="H38" t="n">
        <v>4</v>
      </c>
      <c r="I38" s="7" t="n">
        <v>16289</v>
      </c>
      <c r="J38" s="7" t="n">
        <v>65156</v>
      </c>
      <c r="K38" t="inlineStr">
        <is>
          <t>Card</t>
        </is>
      </c>
      <c r="L38" t="inlineStr">
        <is>
          <t>Returning</t>
        </is>
      </c>
      <c r="M38" t="inlineStr">
        <is>
          <t>Neha</t>
        </is>
      </c>
    </row>
    <row r="39">
      <c r="A39" t="inlineStr">
        <is>
          <t>T0038</t>
        </is>
      </c>
      <c r="B39" s="5" t="n">
        <v>46078</v>
      </c>
      <c r="C39" s="6" t="n">
        <v>0.5</v>
      </c>
      <c r="D39" t="inlineStr">
        <is>
          <t>Arjun</t>
        </is>
      </c>
      <c r="E39" t="inlineStr">
        <is>
          <t>West</t>
        </is>
      </c>
      <c r="F39" t="inlineStr">
        <is>
          <t>Printer</t>
        </is>
      </c>
      <c r="G39" t="inlineStr">
        <is>
          <t>Office</t>
        </is>
      </c>
      <c r="H39" t="n">
        <v>1</v>
      </c>
      <c r="I39" s="7" t="n">
        <v>10181</v>
      </c>
      <c r="J39" s="7" t="n">
        <v>10181</v>
      </c>
      <c r="K39" t="inlineStr">
        <is>
          <t>Cash</t>
        </is>
      </c>
      <c r="L39" t="inlineStr">
        <is>
          <t>Returning</t>
        </is>
      </c>
      <c r="M39" t="inlineStr">
        <is>
          <t>Neha</t>
        </is>
      </c>
    </row>
    <row r="40">
      <c r="A40" t="inlineStr">
        <is>
          <t>T0039</t>
        </is>
      </c>
      <c r="B40" s="5" t="n">
        <v>46137</v>
      </c>
      <c r="C40" s="6" t="n">
        <v>0.5416666666666666</v>
      </c>
      <c r="D40" t="inlineStr">
        <is>
          <t>Rohan</t>
        </is>
      </c>
      <c r="E40" t="inlineStr">
        <is>
          <t>East</t>
        </is>
      </c>
      <c r="F40" t="inlineStr">
        <is>
          <t>Laptop</t>
        </is>
      </c>
      <c r="G40" t="inlineStr">
        <is>
          <t>Electronics</t>
        </is>
      </c>
      <c r="H40" t="n">
        <v>2</v>
      </c>
      <c r="I40" s="7" t="n">
        <v>53883</v>
      </c>
      <c r="J40" s="7" t="n">
        <v>107766</v>
      </c>
      <c r="K40" t="inlineStr">
        <is>
          <t>Cash</t>
        </is>
      </c>
      <c r="L40" t="inlineStr">
        <is>
          <t>Returning</t>
        </is>
      </c>
      <c r="M40" t="inlineStr">
        <is>
          <t>Raj</t>
        </is>
      </c>
    </row>
    <row r="41">
      <c r="A41" t="inlineStr">
        <is>
          <t>T0040</t>
        </is>
      </c>
      <c r="B41" s="5" t="n">
        <v>46192</v>
      </c>
      <c r="C41" s="6" t="n">
        <v>0.5416666666666666</v>
      </c>
      <c r="D41" t="inlineStr">
        <is>
          <t>Ishita</t>
        </is>
      </c>
      <c r="E41" t="inlineStr">
        <is>
          <t>East</t>
        </is>
      </c>
      <c r="F41" t="inlineStr">
        <is>
          <t>Laptop</t>
        </is>
      </c>
      <c r="G41" t="inlineStr">
        <is>
          <t>Electronics</t>
        </is>
      </c>
      <c r="H41" t="n">
        <v>1</v>
      </c>
      <c r="I41" s="7" t="n">
        <v>59147</v>
      </c>
      <c r="J41" s="7" t="n">
        <v>59147</v>
      </c>
      <c r="K41" t="inlineStr">
        <is>
          <t>UPI</t>
        </is>
      </c>
      <c r="L41" t="inlineStr">
        <is>
          <t>New</t>
        </is>
      </c>
      <c r="M41" t="inlineStr">
        <is>
          <t>Raj</t>
        </is>
      </c>
    </row>
    <row r="42">
      <c r="A42" t="inlineStr">
        <is>
          <t>T0041</t>
        </is>
      </c>
      <c r="B42" s="5" t="n">
        <v>46245</v>
      </c>
      <c r="C42" s="6" t="n">
        <v>0.7083333333333334</v>
      </c>
      <c r="D42" t="inlineStr">
        <is>
          <t>Ananya</t>
        </is>
      </c>
      <c r="E42" t="inlineStr">
        <is>
          <t>West</t>
        </is>
      </c>
      <c r="F42" t="inlineStr">
        <is>
          <t>Monitor</t>
        </is>
      </c>
      <c r="G42" t="inlineStr">
        <is>
          <t>Electronics</t>
        </is>
      </c>
      <c r="H42" t="n">
        <v>3</v>
      </c>
      <c r="I42" s="7" t="n">
        <v>11847</v>
      </c>
      <c r="J42" s="7" t="n">
        <v>35541</v>
      </c>
      <c r="K42" t="inlineStr">
        <is>
          <t>Card</t>
        </is>
      </c>
      <c r="L42" t="inlineStr">
        <is>
          <t>Returning</t>
        </is>
      </c>
      <c r="M42" t="inlineStr">
        <is>
          <t>Amit</t>
        </is>
      </c>
    </row>
    <row r="43">
      <c r="A43" t="inlineStr">
        <is>
          <t>T0042</t>
        </is>
      </c>
      <c r="B43" s="5" t="n">
        <v>46246</v>
      </c>
      <c r="C43" s="6" t="n">
        <v>0.7083333333333334</v>
      </c>
      <c r="D43" t="inlineStr">
        <is>
          <t>Arjun</t>
        </is>
      </c>
      <c r="E43" t="inlineStr">
        <is>
          <t>East</t>
        </is>
      </c>
      <c r="F43" t="inlineStr">
        <is>
          <t>Laptop</t>
        </is>
      </c>
      <c r="G43" t="inlineStr">
        <is>
          <t>Electronics</t>
        </is>
      </c>
      <c r="H43" t="n">
        <v>5</v>
      </c>
      <c r="I43" s="7" t="n">
        <v>59681</v>
      </c>
      <c r="J43" s="7" t="n">
        <v>298405</v>
      </c>
      <c r="K43" t="inlineStr">
        <is>
          <t>Net Banking</t>
        </is>
      </c>
      <c r="L43" t="inlineStr">
        <is>
          <t>New</t>
        </is>
      </c>
      <c r="M43" t="inlineStr">
        <is>
          <t>Kunal</t>
        </is>
      </c>
    </row>
    <row r="44">
      <c r="A44" t="inlineStr">
        <is>
          <t>T0043</t>
        </is>
      </c>
      <c r="B44" s="5" t="n">
        <v>46183</v>
      </c>
      <c r="C44" s="6" t="n">
        <v>0.7916666666666666</v>
      </c>
      <c r="D44" t="inlineStr">
        <is>
          <t>Nisha</t>
        </is>
      </c>
      <c r="E44" t="inlineStr">
        <is>
          <t>East</t>
        </is>
      </c>
      <c r="F44" t="inlineStr">
        <is>
          <t>Smartphone</t>
        </is>
      </c>
      <c r="G44" t="inlineStr">
        <is>
          <t>Electronics</t>
        </is>
      </c>
      <c r="H44" t="n">
        <v>3</v>
      </c>
      <c r="I44" s="7" t="n">
        <v>28040</v>
      </c>
      <c r="J44" s="7" t="n">
        <v>84120</v>
      </c>
      <c r="K44" t="inlineStr">
        <is>
          <t>Net Banking</t>
        </is>
      </c>
      <c r="L44" t="inlineStr">
        <is>
          <t>Returning</t>
        </is>
      </c>
      <c r="M44" t="inlineStr">
        <is>
          <t>Raj</t>
        </is>
      </c>
    </row>
    <row r="45">
      <c r="A45" t="inlineStr">
        <is>
          <t>T0044</t>
        </is>
      </c>
      <c r="B45" s="5" t="n">
        <v>46088</v>
      </c>
      <c r="C45" s="6" t="n">
        <v>0.625</v>
      </c>
      <c r="D45" t="inlineStr">
        <is>
          <t>Ishita</t>
        </is>
      </c>
      <c r="E45" t="inlineStr">
        <is>
          <t>East</t>
        </is>
      </c>
      <c r="F45" t="inlineStr">
        <is>
          <t>Headphones</t>
        </is>
      </c>
      <c r="G45" t="inlineStr">
        <is>
          <t>Accessories</t>
        </is>
      </c>
      <c r="H45" t="n">
        <v>4</v>
      </c>
      <c r="I45" s="7" t="n">
        <v>3615</v>
      </c>
      <c r="J45" s="7" t="n">
        <v>14460</v>
      </c>
      <c r="K45" t="inlineStr">
        <is>
          <t>Net Banking</t>
        </is>
      </c>
      <c r="L45" t="inlineStr">
        <is>
          <t>New</t>
        </is>
      </c>
      <c r="M45" t="inlineStr">
        <is>
          <t>Kunal</t>
        </is>
      </c>
    </row>
    <row r="46">
      <c r="A46" t="inlineStr">
        <is>
          <t>T0045</t>
        </is>
      </c>
      <c r="B46" s="5" t="n">
        <v>46169</v>
      </c>
      <c r="C46" s="6" t="n">
        <v>0.75</v>
      </c>
      <c r="D46" t="inlineStr">
        <is>
          <t>Aditya</t>
        </is>
      </c>
      <c r="E46" t="inlineStr">
        <is>
          <t>West</t>
        </is>
      </c>
      <c r="F46" t="inlineStr">
        <is>
          <t>Headphones</t>
        </is>
      </c>
      <c r="G46" t="inlineStr">
        <is>
          <t>Accessories</t>
        </is>
      </c>
      <c r="H46" t="n">
        <v>4</v>
      </c>
      <c r="I46" s="7" t="n">
        <v>3700</v>
      </c>
      <c r="J46" s="7" t="n">
        <v>14800</v>
      </c>
      <c r="K46" t="inlineStr">
        <is>
          <t>Net Banking</t>
        </is>
      </c>
      <c r="L46" t="inlineStr">
        <is>
          <t>Returning</t>
        </is>
      </c>
      <c r="M46" t="inlineStr">
        <is>
          <t>Neha</t>
        </is>
      </c>
    </row>
    <row r="47">
      <c r="A47" t="inlineStr">
        <is>
          <t>T0046</t>
        </is>
      </c>
      <c r="B47" s="5" t="n">
        <v>46284</v>
      </c>
      <c r="C47" s="6" t="n">
        <v>0.5416666666666666</v>
      </c>
      <c r="D47" t="inlineStr">
        <is>
          <t>Yash</t>
        </is>
      </c>
      <c r="E47" t="inlineStr">
        <is>
          <t>East</t>
        </is>
      </c>
      <c r="F47" t="inlineStr">
        <is>
          <t>Chair</t>
        </is>
      </c>
      <c r="G47" t="inlineStr">
        <is>
          <t>Furniture</t>
        </is>
      </c>
      <c r="H47" t="n">
        <v>2</v>
      </c>
      <c r="I47" s="7" t="n">
        <v>7222</v>
      </c>
      <c r="J47" s="7" t="n">
        <v>14444</v>
      </c>
      <c r="K47" t="inlineStr">
        <is>
          <t>UPI</t>
        </is>
      </c>
      <c r="L47" t="inlineStr">
        <is>
          <t>New</t>
        </is>
      </c>
      <c r="M47" t="inlineStr">
        <is>
          <t>Kunal</t>
        </is>
      </c>
    </row>
    <row r="48">
      <c r="A48" t="inlineStr">
        <is>
          <t>T0047</t>
        </is>
      </c>
      <c r="B48" s="5" t="n">
        <v>46138</v>
      </c>
      <c r="C48" s="6" t="n">
        <v>0.5</v>
      </c>
      <c r="D48" t="inlineStr">
        <is>
          <t>Aditi</t>
        </is>
      </c>
      <c r="E48" t="inlineStr">
        <is>
          <t>North</t>
        </is>
      </c>
      <c r="F48" t="inlineStr">
        <is>
          <t>Headphones</t>
        </is>
      </c>
      <c r="G48" t="inlineStr">
        <is>
          <t>Accessories</t>
        </is>
      </c>
      <c r="H48" t="n">
        <v>2</v>
      </c>
      <c r="I48" s="7" t="n">
        <v>3167</v>
      </c>
      <c r="J48" s="7" t="n">
        <v>6334</v>
      </c>
      <c r="K48" t="inlineStr">
        <is>
          <t>Net Banking</t>
        </is>
      </c>
      <c r="L48" t="inlineStr">
        <is>
          <t>Returning</t>
        </is>
      </c>
      <c r="M48" t="inlineStr">
        <is>
          <t>Raj</t>
        </is>
      </c>
    </row>
    <row r="49">
      <c r="A49" t="inlineStr">
        <is>
          <t>T0048</t>
        </is>
      </c>
      <c r="B49" s="5" t="n">
        <v>46122</v>
      </c>
      <c r="C49" s="6" t="n">
        <v>0.4583333333333333</v>
      </c>
      <c r="D49" t="inlineStr">
        <is>
          <t>Aarav</t>
        </is>
      </c>
      <c r="E49" t="inlineStr">
        <is>
          <t>North</t>
        </is>
      </c>
      <c r="F49" t="inlineStr">
        <is>
          <t>Printer</t>
        </is>
      </c>
      <c r="G49" t="inlineStr">
        <is>
          <t>Office</t>
        </is>
      </c>
      <c r="H49" t="n">
        <v>4</v>
      </c>
      <c r="I49" s="7" t="n">
        <v>9309</v>
      </c>
      <c r="J49" s="7" t="n">
        <v>37236</v>
      </c>
      <c r="K49" t="inlineStr">
        <is>
          <t>Net Banking</t>
        </is>
      </c>
      <c r="L49" t="inlineStr">
        <is>
          <t>New</t>
        </is>
      </c>
      <c r="M49" t="inlineStr">
        <is>
          <t>Neha</t>
        </is>
      </c>
    </row>
    <row r="50">
      <c r="A50" t="inlineStr">
        <is>
          <t>T0049</t>
        </is>
      </c>
      <c r="B50" s="5" t="n">
        <v>46288</v>
      </c>
      <c r="C50" s="6" t="n">
        <v>0.4166666666666667</v>
      </c>
      <c r="D50" t="inlineStr">
        <is>
          <t>Karan</t>
        </is>
      </c>
      <c r="E50" t="inlineStr">
        <is>
          <t>South</t>
        </is>
      </c>
      <c r="F50" t="inlineStr">
        <is>
          <t>Chair</t>
        </is>
      </c>
      <c r="G50" t="inlineStr">
        <is>
          <t>Furniture</t>
        </is>
      </c>
      <c r="H50" t="n">
        <v>1</v>
      </c>
      <c r="I50" s="7" t="n">
        <v>7080</v>
      </c>
      <c r="J50" s="7" t="n">
        <v>7080</v>
      </c>
      <c r="K50" t="inlineStr">
        <is>
          <t>Net Banking</t>
        </is>
      </c>
      <c r="L50" t="inlineStr">
        <is>
          <t>Returning</t>
        </is>
      </c>
      <c r="M50" t="inlineStr">
        <is>
          <t>Sneha</t>
        </is>
      </c>
    </row>
    <row r="51">
      <c r="A51" t="inlineStr">
        <is>
          <t>T0050</t>
        </is>
      </c>
      <c r="B51" s="5" t="n">
        <v>46281</v>
      </c>
      <c r="C51" s="6" t="n">
        <v>0.4583333333333333</v>
      </c>
      <c r="D51" t="inlineStr">
        <is>
          <t>Aditi</t>
        </is>
      </c>
      <c r="E51" t="inlineStr">
        <is>
          <t>West</t>
        </is>
      </c>
      <c r="F51" t="inlineStr">
        <is>
          <t>Printer</t>
        </is>
      </c>
      <c r="G51" t="inlineStr">
        <is>
          <t>Office</t>
        </is>
      </c>
      <c r="H51" t="n">
        <v>5</v>
      </c>
      <c r="I51" s="7" t="n">
        <v>9397</v>
      </c>
      <c r="J51" s="7" t="n">
        <v>46985</v>
      </c>
      <c r="K51" t="inlineStr">
        <is>
          <t>Cash</t>
        </is>
      </c>
      <c r="L51" t="inlineStr">
        <is>
          <t>New</t>
        </is>
      </c>
      <c r="M51" t="inlineStr">
        <is>
          <t>Kunal</t>
        </is>
      </c>
    </row>
    <row r="52">
      <c r="A52" t="inlineStr">
        <is>
          <t>T0051</t>
        </is>
      </c>
      <c r="B52" s="5" t="n">
        <v>46289</v>
      </c>
      <c r="C52" s="6" t="n">
        <v>0.4166666666666667</v>
      </c>
      <c r="D52" t="inlineStr">
        <is>
          <t>Saanvi</t>
        </is>
      </c>
      <c r="E52" t="inlineStr">
        <is>
          <t>South</t>
        </is>
      </c>
      <c r="F52" t="inlineStr">
        <is>
          <t>Chair</t>
        </is>
      </c>
      <c r="G52" t="inlineStr">
        <is>
          <t>Furniture</t>
        </is>
      </c>
      <c r="H52" t="n">
        <v>2</v>
      </c>
      <c r="I52" s="7" t="n">
        <v>6684</v>
      </c>
      <c r="J52" s="7" t="n">
        <v>13368</v>
      </c>
      <c r="K52" t="inlineStr">
        <is>
          <t>Cash</t>
        </is>
      </c>
      <c r="L52" t="inlineStr">
        <is>
          <t>Returning</t>
        </is>
      </c>
      <c r="M52" t="inlineStr">
        <is>
          <t>Kunal</t>
        </is>
      </c>
    </row>
    <row r="53">
      <c r="A53" t="inlineStr">
        <is>
          <t>T0052</t>
        </is>
      </c>
      <c r="B53" s="5" t="n">
        <v>46064</v>
      </c>
      <c r="C53" s="6" t="n">
        <v>0.8333333333333334</v>
      </c>
      <c r="D53" t="inlineStr">
        <is>
          <t>Vivaan</t>
        </is>
      </c>
      <c r="E53" t="inlineStr">
        <is>
          <t>South</t>
        </is>
      </c>
      <c r="F53" t="inlineStr">
        <is>
          <t>Tablet</t>
        </is>
      </c>
      <c r="G53" t="inlineStr">
        <is>
          <t>Electronics</t>
        </is>
      </c>
      <c r="H53" t="n">
        <v>2</v>
      </c>
      <c r="I53" s="7" t="n">
        <v>17033</v>
      </c>
      <c r="J53" s="7" t="n">
        <v>34066</v>
      </c>
      <c r="K53" t="inlineStr">
        <is>
          <t>UPI</t>
        </is>
      </c>
      <c r="L53" t="inlineStr">
        <is>
          <t>Returning</t>
        </is>
      </c>
      <c r="M53" t="inlineStr">
        <is>
          <t>Sneha</t>
        </is>
      </c>
    </row>
    <row r="54">
      <c r="A54" t="inlineStr">
        <is>
          <t>T0053</t>
        </is>
      </c>
      <c r="B54" s="5" t="n">
        <v>46192</v>
      </c>
      <c r="C54" s="6" t="n">
        <v>0.625</v>
      </c>
      <c r="D54" t="inlineStr">
        <is>
          <t>Rahul</t>
        </is>
      </c>
      <c r="E54" t="inlineStr">
        <is>
          <t>North</t>
        </is>
      </c>
      <c r="F54" t="inlineStr">
        <is>
          <t>Chair</t>
        </is>
      </c>
      <c r="G54" t="inlineStr">
        <is>
          <t>Furniture</t>
        </is>
      </c>
      <c r="H54" t="n">
        <v>4</v>
      </c>
      <c r="I54" s="7" t="n">
        <v>6387</v>
      </c>
      <c r="J54" s="7" t="n">
        <v>25548</v>
      </c>
      <c r="K54" t="inlineStr">
        <is>
          <t>Net Banking</t>
        </is>
      </c>
      <c r="L54" t="inlineStr">
        <is>
          <t>Returning</t>
        </is>
      </c>
      <c r="M54" t="inlineStr">
        <is>
          <t>Amit</t>
        </is>
      </c>
    </row>
    <row r="55">
      <c r="A55" t="inlineStr">
        <is>
          <t>T0054</t>
        </is>
      </c>
      <c r="B55" s="5" t="n">
        <v>46203</v>
      </c>
      <c r="C55" s="6" t="n">
        <v>0.625</v>
      </c>
      <c r="D55" t="inlineStr">
        <is>
          <t>Riya</t>
        </is>
      </c>
      <c r="E55" t="inlineStr">
        <is>
          <t>South</t>
        </is>
      </c>
      <c r="F55" t="inlineStr">
        <is>
          <t>Keyboard</t>
        </is>
      </c>
      <c r="G55" t="inlineStr">
        <is>
          <t>Accessories</t>
        </is>
      </c>
      <c r="H55" t="n">
        <v>4</v>
      </c>
      <c r="I55" s="7" t="n">
        <v>1927</v>
      </c>
      <c r="J55" s="7" t="n">
        <v>7708</v>
      </c>
      <c r="K55" t="inlineStr">
        <is>
          <t>Net Banking</t>
        </is>
      </c>
      <c r="L55" t="inlineStr">
        <is>
          <t>New</t>
        </is>
      </c>
      <c r="M55" t="inlineStr">
        <is>
          <t>Kunal</t>
        </is>
      </c>
    </row>
    <row r="56">
      <c r="A56" t="inlineStr">
        <is>
          <t>T0055</t>
        </is>
      </c>
      <c r="B56" s="5" t="n">
        <v>46246</v>
      </c>
      <c r="C56" s="6" t="n">
        <v>0.7916666666666666</v>
      </c>
      <c r="D56" t="inlineStr">
        <is>
          <t>Rahul</t>
        </is>
      </c>
      <c r="E56" t="inlineStr">
        <is>
          <t>South</t>
        </is>
      </c>
      <c r="F56" t="inlineStr">
        <is>
          <t>Chair</t>
        </is>
      </c>
      <c r="G56" t="inlineStr">
        <is>
          <t>Furniture</t>
        </is>
      </c>
      <c r="H56" t="n">
        <v>1</v>
      </c>
      <c r="I56" s="7" t="n">
        <v>6844</v>
      </c>
      <c r="J56" s="7" t="n">
        <v>6844</v>
      </c>
      <c r="K56" t="inlineStr">
        <is>
          <t>Net Banking</t>
        </is>
      </c>
      <c r="L56" t="inlineStr">
        <is>
          <t>New</t>
        </is>
      </c>
      <c r="M56" t="inlineStr">
        <is>
          <t>Raj</t>
        </is>
      </c>
    </row>
    <row r="57">
      <c r="A57" t="inlineStr">
        <is>
          <t>T0056</t>
        </is>
      </c>
      <c r="B57" s="5" t="n">
        <v>46036</v>
      </c>
      <c r="C57" s="6" t="n">
        <v>0.375</v>
      </c>
      <c r="D57" t="inlineStr">
        <is>
          <t>Rohan</t>
        </is>
      </c>
      <c r="E57" t="inlineStr">
        <is>
          <t>West</t>
        </is>
      </c>
      <c r="F57" t="inlineStr">
        <is>
          <t>Printer</t>
        </is>
      </c>
      <c r="G57" t="inlineStr">
        <is>
          <t>Office</t>
        </is>
      </c>
      <c r="H57" t="n">
        <v>5</v>
      </c>
      <c r="I57" s="7" t="n">
        <v>9622</v>
      </c>
      <c r="J57" s="7" t="n">
        <v>48110</v>
      </c>
      <c r="K57" t="inlineStr">
        <is>
          <t>Card</t>
        </is>
      </c>
      <c r="L57" t="inlineStr">
        <is>
          <t>Returning</t>
        </is>
      </c>
      <c r="M57" t="inlineStr">
        <is>
          <t>Neha</t>
        </is>
      </c>
    </row>
    <row r="58">
      <c r="A58" t="inlineStr">
        <is>
          <t>T0057</t>
        </is>
      </c>
      <c r="B58" s="5" t="n">
        <v>46048</v>
      </c>
      <c r="C58" s="6" t="n">
        <v>0.6666666666666666</v>
      </c>
      <c r="D58" t="inlineStr">
        <is>
          <t>Aditya</t>
        </is>
      </c>
      <c r="E58" t="inlineStr">
        <is>
          <t>East</t>
        </is>
      </c>
      <c r="F58" t="inlineStr">
        <is>
          <t>Keyboard</t>
        </is>
      </c>
      <c r="G58" t="inlineStr">
        <is>
          <t>Accessories</t>
        </is>
      </c>
      <c r="H58" t="n">
        <v>4</v>
      </c>
      <c r="I58" s="7" t="n">
        <v>1738</v>
      </c>
      <c r="J58" s="7" t="n">
        <v>6952</v>
      </c>
      <c r="K58" t="inlineStr">
        <is>
          <t>Net Banking</t>
        </is>
      </c>
      <c r="L58" t="inlineStr">
        <is>
          <t>Returning</t>
        </is>
      </c>
      <c r="M58" t="inlineStr">
        <is>
          <t>Sneha</t>
        </is>
      </c>
    </row>
    <row r="59">
      <c r="A59" t="inlineStr">
        <is>
          <t>T0058</t>
        </is>
      </c>
      <c r="B59" s="5" t="n">
        <v>46152</v>
      </c>
      <c r="C59" s="6" t="n">
        <v>0.7083333333333334</v>
      </c>
      <c r="D59" t="inlineStr">
        <is>
          <t>Diya</t>
        </is>
      </c>
      <c r="E59" t="inlineStr">
        <is>
          <t>East</t>
        </is>
      </c>
      <c r="F59" t="inlineStr">
        <is>
          <t>Smartphone</t>
        </is>
      </c>
      <c r="G59" t="inlineStr">
        <is>
          <t>Electronics</t>
        </is>
      </c>
      <c r="H59" t="n">
        <v>4</v>
      </c>
      <c r="I59" s="7" t="n">
        <v>25309</v>
      </c>
      <c r="J59" s="7" t="n">
        <v>101236</v>
      </c>
      <c r="K59" t="inlineStr">
        <is>
          <t>Card</t>
        </is>
      </c>
      <c r="L59" t="inlineStr">
        <is>
          <t>New</t>
        </is>
      </c>
      <c r="M59" t="inlineStr">
        <is>
          <t>Amit</t>
        </is>
      </c>
    </row>
    <row r="60">
      <c r="A60" t="inlineStr">
        <is>
          <t>T0059</t>
        </is>
      </c>
      <c r="B60" s="5" t="n">
        <v>46038</v>
      </c>
      <c r="C60" s="6" t="n">
        <v>0.75</v>
      </c>
      <c r="D60" t="inlineStr">
        <is>
          <t>Vivaan</t>
        </is>
      </c>
      <c r="E60" t="inlineStr">
        <is>
          <t>South</t>
        </is>
      </c>
      <c r="F60" t="inlineStr">
        <is>
          <t>Headphones</t>
        </is>
      </c>
      <c r="G60" t="inlineStr">
        <is>
          <t>Accessories</t>
        </is>
      </c>
      <c r="H60" t="n">
        <v>2</v>
      </c>
      <c r="I60" s="7" t="n">
        <v>3737</v>
      </c>
      <c r="J60" s="7" t="n">
        <v>7474</v>
      </c>
      <c r="K60" t="inlineStr">
        <is>
          <t>Card</t>
        </is>
      </c>
      <c r="L60" t="inlineStr">
        <is>
          <t>Returning</t>
        </is>
      </c>
      <c r="M60" t="inlineStr">
        <is>
          <t>Amit</t>
        </is>
      </c>
    </row>
    <row r="61">
      <c r="A61" t="inlineStr">
        <is>
          <t>T0060</t>
        </is>
      </c>
      <c r="B61" s="5" t="n">
        <v>46134</v>
      </c>
      <c r="C61" s="6" t="n">
        <v>0.4583333333333333</v>
      </c>
      <c r="D61" t="inlineStr">
        <is>
          <t>Pooja</t>
        </is>
      </c>
      <c r="E61" t="inlineStr">
        <is>
          <t>North</t>
        </is>
      </c>
      <c r="F61" t="inlineStr">
        <is>
          <t>Chair</t>
        </is>
      </c>
      <c r="G61" t="inlineStr">
        <is>
          <t>Furniture</t>
        </is>
      </c>
      <c r="H61" t="n">
        <v>3</v>
      </c>
      <c r="I61" s="7" t="n">
        <v>7374</v>
      </c>
      <c r="J61" s="7" t="n">
        <v>22122</v>
      </c>
      <c r="K61" t="inlineStr">
        <is>
          <t>Card</t>
        </is>
      </c>
      <c r="L61" t="inlineStr">
        <is>
          <t>Returning</t>
        </is>
      </c>
      <c r="M61" t="inlineStr">
        <is>
          <t>Amit</t>
        </is>
      </c>
    </row>
    <row r="62">
      <c r="A62" t="inlineStr">
        <is>
          <t>T0061</t>
        </is>
      </c>
      <c r="B62" s="5" t="n">
        <v>46036</v>
      </c>
      <c r="C62" s="6" t="n">
        <v>0.625</v>
      </c>
      <c r="D62" t="inlineStr">
        <is>
          <t>Rahul</t>
        </is>
      </c>
      <c r="E62" t="inlineStr">
        <is>
          <t>South</t>
        </is>
      </c>
      <c r="F62" t="inlineStr">
        <is>
          <t>Keyboard</t>
        </is>
      </c>
      <c r="G62" t="inlineStr">
        <is>
          <t>Accessories</t>
        </is>
      </c>
      <c r="H62" t="n">
        <v>5</v>
      </c>
      <c r="I62" s="7" t="n">
        <v>1864</v>
      </c>
      <c r="J62" s="7" t="n">
        <v>9320</v>
      </c>
      <c r="K62" t="inlineStr">
        <is>
          <t>UPI</t>
        </is>
      </c>
      <c r="L62" t="inlineStr">
        <is>
          <t>New</t>
        </is>
      </c>
      <c r="M62" t="inlineStr">
        <is>
          <t>Amit</t>
        </is>
      </c>
    </row>
    <row r="63">
      <c r="A63" t="inlineStr">
        <is>
          <t>T0062</t>
        </is>
      </c>
      <c r="B63" s="5" t="n">
        <v>46177</v>
      </c>
      <c r="C63" s="6" t="n">
        <v>0.5833333333333334</v>
      </c>
      <c r="D63" t="inlineStr">
        <is>
          <t>Riya</t>
        </is>
      </c>
      <c r="E63" t="inlineStr">
        <is>
          <t>West</t>
        </is>
      </c>
      <c r="F63" t="inlineStr">
        <is>
          <t>Smartphone</t>
        </is>
      </c>
      <c r="G63" t="inlineStr">
        <is>
          <t>Electronics</t>
        </is>
      </c>
      <c r="H63" t="n">
        <v>5</v>
      </c>
      <c r="I63" s="7" t="n">
        <v>29583</v>
      </c>
      <c r="J63" s="7" t="n">
        <v>147915</v>
      </c>
      <c r="K63" t="inlineStr">
        <is>
          <t>Cash</t>
        </is>
      </c>
      <c r="L63" t="inlineStr">
        <is>
          <t>New</t>
        </is>
      </c>
      <c r="M63" t="inlineStr">
        <is>
          <t>Raj</t>
        </is>
      </c>
    </row>
    <row r="64">
      <c r="A64" t="inlineStr">
        <is>
          <t>T0063</t>
        </is>
      </c>
      <c r="B64" s="5" t="n">
        <v>46197</v>
      </c>
      <c r="C64" s="6" t="n">
        <v>0.4166666666666667</v>
      </c>
      <c r="D64" t="inlineStr">
        <is>
          <t>Nisha</t>
        </is>
      </c>
      <c r="E64" t="inlineStr">
        <is>
          <t>East</t>
        </is>
      </c>
      <c r="F64" t="inlineStr">
        <is>
          <t>Laptop</t>
        </is>
      </c>
      <c r="G64" t="inlineStr">
        <is>
          <t>Electronics</t>
        </is>
      </c>
      <c r="H64" t="n">
        <v>4</v>
      </c>
      <c r="I64" s="7" t="n">
        <v>58546</v>
      </c>
      <c r="J64" s="7" t="n">
        <v>234184</v>
      </c>
      <c r="K64" t="inlineStr">
        <is>
          <t>Net Banking</t>
        </is>
      </c>
      <c r="L64" t="inlineStr">
        <is>
          <t>New</t>
        </is>
      </c>
      <c r="M64" t="inlineStr">
        <is>
          <t>Sneha</t>
        </is>
      </c>
    </row>
    <row r="65">
      <c r="A65" t="inlineStr">
        <is>
          <t>T0064</t>
        </is>
      </c>
      <c r="B65" s="5" t="n">
        <v>46113</v>
      </c>
      <c r="C65" s="6" t="n">
        <v>0.7083333333333334</v>
      </c>
      <c r="D65" t="inlineStr">
        <is>
          <t>Aditi</t>
        </is>
      </c>
      <c r="E65" t="inlineStr">
        <is>
          <t>West</t>
        </is>
      </c>
      <c r="F65" t="inlineStr">
        <is>
          <t>Keyboard</t>
        </is>
      </c>
      <c r="G65" t="inlineStr">
        <is>
          <t>Accessories</t>
        </is>
      </c>
      <c r="H65" t="n">
        <v>5</v>
      </c>
      <c r="I65" s="7" t="n">
        <v>1911</v>
      </c>
      <c r="J65" s="7" t="n">
        <v>9555</v>
      </c>
      <c r="K65" t="inlineStr">
        <is>
          <t>Net Banking</t>
        </is>
      </c>
      <c r="L65" t="inlineStr">
        <is>
          <t>Returning</t>
        </is>
      </c>
      <c r="M65" t="inlineStr">
        <is>
          <t>Kunal</t>
        </is>
      </c>
    </row>
    <row r="66">
      <c r="A66" t="inlineStr">
        <is>
          <t>T0065</t>
        </is>
      </c>
      <c r="B66" s="5" t="n">
        <v>46148</v>
      </c>
      <c r="C66" s="6" t="n">
        <v>0.5</v>
      </c>
      <c r="D66" t="inlineStr">
        <is>
          <t>Karan</t>
        </is>
      </c>
      <c r="E66" t="inlineStr">
        <is>
          <t>West</t>
        </is>
      </c>
      <c r="F66" t="inlineStr">
        <is>
          <t>Smartphone</t>
        </is>
      </c>
      <c r="G66" t="inlineStr">
        <is>
          <t>Electronics</t>
        </is>
      </c>
      <c r="H66" t="n">
        <v>3</v>
      </c>
      <c r="I66" s="7" t="n">
        <v>30137</v>
      </c>
      <c r="J66" s="7" t="n">
        <v>90411</v>
      </c>
      <c r="K66" t="inlineStr">
        <is>
          <t>Cash</t>
        </is>
      </c>
      <c r="L66" t="inlineStr">
        <is>
          <t>New</t>
        </is>
      </c>
      <c r="M66" t="inlineStr">
        <is>
          <t>Sneha</t>
        </is>
      </c>
    </row>
    <row r="67">
      <c r="A67" t="inlineStr">
        <is>
          <t>T0066</t>
        </is>
      </c>
      <c r="B67" s="5" t="n">
        <v>46189</v>
      </c>
      <c r="C67" s="6" t="n">
        <v>0.5416666666666666</v>
      </c>
      <c r="D67" t="inlineStr">
        <is>
          <t>Aditya</t>
        </is>
      </c>
      <c r="E67" t="inlineStr">
        <is>
          <t>East</t>
        </is>
      </c>
      <c r="F67" t="inlineStr">
        <is>
          <t>Tablet</t>
        </is>
      </c>
      <c r="G67" t="inlineStr">
        <is>
          <t>Electronics</t>
        </is>
      </c>
      <c r="H67" t="n">
        <v>4</v>
      </c>
      <c r="I67" s="7" t="n">
        <v>16964</v>
      </c>
      <c r="J67" s="7" t="n">
        <v>67856</v>
      </c>
      <c r="K67" t="inlineStr">
        <is>
          <t>Cash</t>
        </is>
      </c>
      <c r="L67" t="inlineStr">
        <is>
          <t>New</t>
        </is>
      </c>
      <c r="M67" t="inlineStr">
        <is>
          <t>Raj</t>
        </is>
      </c>
    </row>
    <row r="68">
      <c r="A68" t="inlineStr">
        <is>
          <t>T0067</t>
        </is>
      </c>
      <c r="B68" s="5" t="n">
        <v>46120</v>
      </c>
      <c r="C68" s="6" t="n">
        <v>0.6666666666666666</v>
      </c>
      <c r="D68" t="inlineStr">
        <is>
          <t>Riya</t>
        </is>
      </c>
      <c r="E68" t="inlineStr">
        <is>
          <t>South</t>
        </is>
      </c>
      <c r="F68" t="inlineStr">
        <is>
          <t>Smartphone</t>
        </is>
      </c>
      <c r="G68" t="inlineStr">
        <is>
          <t>Electronics</t>
        </is>
      </c>
      <c r="H68" t="n">
        <v>2</v>
      </c>
      <c r="I68" s="7" t="n">
        <v>29232</v>
      </c>
      <c r="J68" s="7" t="n">
        <v>58464</v>
      </c>
      <c r="K68" t="inlineStr">
        <is>
          <t>Net Banking</t>
        </is>
      </c>
      <c r="L68" t="inlineStr">
        <is>
          <t>Returning</t>
        </is>
      </c>
      <c r="M68" t="inlineStr">
        <is>
          <t>Sneha</t>
        </is>
      </c>
    </row>
    <row r="69">
      <c r="A69" t="inlineStr">
        <is>
          <t>T0068</t>
        </is>
      </c>
      <c r="B69" s="5" t="n">
        <v>46031</v>
      </c>
      <c r="C69" s="6" t="n">
        <v>0.8333333333333334</v>
      </c>
      <c r="D69" t="inlineStr">
        <is>
          <t>Meera</t>
        </is>
      </c>
      <c r="E69" t="inlineStr">
        <is>
          <t>East</t>
        </is>
      </c>
      <c r="F69" t="inlineStr">
        <is>
          <t>Smartphone</t>
        </is>
      </c>
      <c r="G69" t="inlineStr">
        <is>
          <t>Electronics</t>
        </is>
      </c>
      <c r="H69" t="n">
        <v>3</v>
      </c>
      <c r="I69" s="7" t="n">
        <v>26441</v>
      </c>
      <c r="J69" s="7" t="n">
        <v>79323</v>
      </c>
      <c r="K69" t="inlineStr">
        <is>
          <t>Cash</t>
        </is>
      </c>
      <c r="L69" t="inlineStr">
        <is>
          <t>Returning</t>
        </is>
      </c>
      <c r="M69" t="inlineStr">
        <is>
          <t>Raj</t>
        </is>
      </c>
    </row>
    <row r="70">
      <c r="A70" t="inlineStr">
        <is>
          <t>T0069</t>
        </is>
      </c>
      <c r="B70" s="5" t="n">
        <v>46294</v>
      </c>
      <c r="C70" s="6" t="n">
        <v>0.7083333333333334</v>
      </c>
      <c r="D70" t="inlineStr">
        <is>
          <t>Aditya</t>
        </is>
      </c>
      <c r="E70" t="inlineStr">
        <is>
          <t>East</t>
        </is>
      </c>
      <c r="F70" t="inlineStr">
        <is>
          <t>Monitor</t>
        </is>
      </c>
      <c r="G70" t="inlineStr">
        <is>
          <t>Electronics</t>
        </is>
      </c>
      <c r="H70" t="n">
        <v>4</v>
      </c>
      <c r="I70" s="7" t="n">
        <v>13192</v>
      </c>
      <c r="J70" s="7" t="n">
        <v>52768</v>
      </c>
      <c r="K70" t="inlineStr">
        <is>
          <t>Net Banking</t>
        </is>
      </c>
      <c r="L70" t="inlineStr">
        <is>
          <t>Returning</t>
        </is>
      </c>
      <c r="M70" t="inlineStr">
        <is>
          <t>Kunal</t>
        </is>
      </c>
    </row>
    <row r="71">
      <c r="A71" t="inlineStr">
        <is>
          <t>T0070</t>
        </is>
      </c>
      <c r="B71" s="5" t="n">
        <v>46151</v>
      </c>
      <c r="C71" s="6" t="n">
        <v>0.5833333333333334</v>
      </c>
      <c r="D71" t="inlineStr">
        <is>
          <t>Ananya</t>
        </is>
      </c>
      <c r="E71" t="inlineStr">
        <is>
          <t>South</t>
        </is>
      </c>
      <c r="F71" t="inlineStr">
        <is>
          <t>Headphones</t>
        </is>
      </c>
      <c r="G71" t="inlineStr">
        <is>
          <t>Accessories</t>
        </is>
      </c>
      <c r="H71" t="n">
        <v>1</v>
      </c>
      <c r="I71" s="7" t="n">
        <v>3655</v>
      </c>
      <c r="J71" s="7" t="n">
        <v>3655</v>
      </c>
      <c r="K71" t="inlineStr">
        <is>
          <t>Card</t>
        </is>
      </c>
      <c r="L71" t="inlineStr">
        <is>
          <t>New</t>
        </is>
      </c>
      <c r="M71" t="inlineStr">
        <is>
          <t>Sneha</t>
        </is>
      </c>
    </row>
    <row r="72">
      <c r="A72" t="inlineStr">
        <is>
          <t>T0071</t>
        </is>
      </c>
      <c r="B72" s="5" t="n">
        <v>46164</v>
      </c>
      <c r="C72" s="6" t="n">
        <v>0.5416666666666666</v>
      </c>
      <c r="D72" t="inlineStr">
        <is>
          <t>Meera</t>
        </is>
      </c>
      <c r="E72" t="inlineStr">
        <is>
          <t>East</t>
        </is>
      </c>
      <c r="F72" t="inlineStr">
        <is>
          <t>Keyboard</t>
        </is>
      </c>
      <c r="G72" t="inlineStr">
        <is>
          <t>Accessories</t>
        </is>
      </c>
      <c r="H72" t="n">
        <v>1</v>
      </c>
      <c r="I72" s="7" t="n">
        <v>1920</v>
      </c>
      <c r="J72" s="7" t="n">
        <v>1920</v>
      </c>
      <c r="K72" t="inlineStr">
        <is>
          <t>Card</t>
        </is>
      </c>
      <c r="L72" t="inlineStr">
        <is>
          <t>Returning</t>
        </is>
      </c>
      <c r="M72" t="inlineStr">
        <is>
          <t>Amit</t>
        </is>
      </c>
    </row>
    <row r="73">
      <c r="A73" t="inlineStr">
        <is>
          <t>T0072</t>
        </is>
      </c>
      <c r="B73" s="5" t="n">
        <v>46087</v>
      </c>
      <c r="C73" s="6" t="n">
        <v>0.7083333333333334</v>
      </c>
      <c r="D73" t="inlineStr">
        <is>
          <t>Saanvi</t>
        </is>
      </c>
      <c r="E73" t="inlineStr">
        <is>
          <t>South</t>
        </is>
      </c>
      <c r="F73" t="inlineStr">
        <is>
          <t>Keyboard</t>
        </is>
      </c>
      <c r="G73" t="inlineStr">
        <is>
          <t>Accessories</t>
        </is>
      </c>
      <c r="H73" t="n">
        <v>1</v>
      </c>
      <c r="I73" s="7" t="n">
        <v>1971</v>
      </c>
      <c r="J73" s="7" t="n">
        <v>1971</v>
      </c>
      <c r="K73" t="inlineStr">
        <is>
          <t>Net Banking</t>
        </is>
      </c>
      <c r="L73" t="inlineStr">
        <is>
          <t>New</t>
        </is>
      </c>
      <c r="M73" t="inlineStr">
        <is>
          <t>Amit</t>
        </is>
      </c>
    </row>
    <row r="74">
      <c r="A74" t="inlineStr">
        <is>
          <t>T0073</t>
        </is>
      </c>
      <c r="B74" s="5" t="n">
        <v>46168</v>
      </c>
      <c r="C74" s="6" t="n">
        <v>0.4583333333333333</v>
      </c>
      <c r="D74" t="inlineStr">
        <is>
          <t>Diya</t>
        </is>
      </c>
      <c r="E74" t="inlineStr">
        <is>
          <t>East</t>
        </is>
      </c>
      <c r="F74" t="inlineStr">
        <is>
          <t>Chair</t>
        </is>
      </c>
      <c r="G74" t="inlineStr">
        <is>
          <t>Furniture</t>
        </is>
      </c>
      <c r="H74" t="n">
        <v>4</v>
      </c>
      <c r="I74" s="7" t="n">
        <v>6917</v>
      </c>
      <c r="J74" s="7" t="n">
        <v>27668</v>
      </c>
      <c r="K74" t="inlineStr">
        <is>
          <t>Net Banking</t>
        </is>
      </c>
      <c r="L74" t="inlineStr">
        <is>
          <t>New</t>
        </is>
      </c>
      <c r="M74" t="inlineStr">
        <is>
          <t>Amit</t>
        </is>
      </c>
    </row>
    <row r="75">
      <c r="A75" t="inlineStr">
        <is>
          <t>T0074</t>
        </is>
      </c>
      <c r="B75" s="5" t="n">
        <v>46228</v>
      </c>
      <c r="C75" s="6" t="n">
        <v>0.7916666666666666</v>
      </c>
      <c r="D75" t="inlineStr">
        <is>
          <t>Diya</t>
        </is>
      </c>
      <c r="E75" t="inlineStr">
        <is>
          <t>South</t>
        </is>
      </c>
      <c r="F75" t="inlineStr">
        <is>
          <t>Chair</t>
        </is>
      </c>
      <c r="G75" t="inlineStr">
        <is>
          <t>Furniture</t>
        </is>
      </c>
      <c r="H75" t="n">
        <v>1</v>
      </c>
      <c r="I75" s="7" t="n">
        <v>7108</v>
      </c>
      <c r="J75" s="7" t="n">
        <v>7108</v>
      </c>
      <c r="K75" t="inlineStr">
        <is>
          <t>Card</t>
        </is>
      </c>
      <c r="L75" t="inlineStr">
        <is>
          <t>Returning</t>
        </is>
      </c>
      <c r="M75" t="inlineStr">
        <is>
          <t>Amit</t>
        </is>
      </c>
    </row>
    <row r="76">
      <c r="A76" t="inlineStr">
        <is>
          <t>T0075</t>
        </is>
      </c>
      <c r="B76" s="5" t="n">
        <v>46150</v>
      </c>
      <c r="C76" s="6" t="n">
        <v>0.75</v>
      </c>
      <c r="D76" t="inlineStr">
        <is>
          <t>Pooja</t>
        </is>
      </c>
      <c r="E76" t="inlineStr">
        <is>
          <t>South</t>
        </is>
      </c>
      <c r="F76" t="inlineStr">
        <is>
          <t>Smartphone</t>
        </is>
      </c>
      <c r="G76" t="inlineStr">
        <is>
          <t>Electronics</t>
        </is>
      </c>
      <c r="H76" t="n">
        <v>5</v>
      </c>
      <c r="I76" s="7" t="n">
        <v>29481</v>
      </c>
      <c r="J76" s="7" t="n">
        <v>147405</v>
      </c>
      <c r="K76" t="inlineStr">
        <is>
          <t>Net Banking</t>
        </is>
      </c>
      <c r="L76" t="inlineStr">
        <is>
          <t>Returning</t>
        </is>
      </c>
      <c r="M76" t="inlineStr">
        <is>
          <t>Sneha</t>
        </is>
      </c>
    </row>
    <row r="77">
      <c r="A77" t="inlineStr">
        <is>
          <t>T0076</t>
        </is>
      </c>
      <c r="B77" s="5" t="n">
        <v>46175</v>
      </c>
      <c r="C77" s="6" t="n">
        <v>0.375</v>
      </c>
      <c r="D77" t="inlineStr">
        <is>
          <t>Pooja</t>
        </is>
      </c>
      <c r="E77" t="inlineStr">
        <is>
          <t>North</t>
        </is>
      </c>
      <c r="F77" t="inlineStr">
        <is>
          <t>Printer</t>
        </is>
      </c>
      <c r="G77" t="inlineStr">
        <is>
          <t>Office</t>
        </is>
      </c>
      <c r="H77" t="n">
        <v>3</v>
      </c>
      <c r="I77" s="7" t="n">
        <v>9630</v>
      </c>
      <c r="J77" s="7" t="n">
        <v>28890</v>
      </c>
      <c r="K77" t="inlineStr">
        <is>
          <t>Card</t>
        </is>
      </c>
      <c r="L77" t="inlineStr">
        <is>
          <t>New</t>
        </is>
      </c>
      <c r="M77" t="inlineStr">
        <is>
          <t>Kunal</t>
        </is>
      </c>
    </row>
    <row r="78">
      <c r="A78" t="inlineStr">
        <is>
          <t>T0077</t>
        </is>
      </c>
      <c r="B78" s="5" t="n">
        <v>46064</v>
      </c>
      <c r="C78" s="6" t="n">
        <v>0.4166666666666667</v>
      </c>
      <c r="D78" t="inlineStr">
        <is>
          <t>Ishita</t>
        </is>
      </c>
      <c r="E78" t="inlineStr">
        <is>
          <t>North</t>
        </is>
      </c>
      <c r="F78" t="inlineStr">
        <is>
          <t>Tablet</t>
        </is>
      </c>
      <c r="G78" t="inlineStr">
        <is>
          <t>Electronics</t>
        </is>
      </c>
      <c r="H78" t="n">
        <v>2</v>
      </c>
      <c r="I78" s="7" t="n">
        <v>16826</v>
      </c>
      <c r="J78" s="7" t="n">
        <v>33652</v>
      </c>
      <c r="K78" t="inlineStr">
        <is>
          <t>Net Banking</t>
        </is>
      </c>
      <c r="L78" t="inlineStr">
        <is>
          <t>Returning</t>
        </is>
      </c>
      <c r="M78" t="inlineStr">
        <is>
          <t>Raj</t>
        </is>
      </c>
    </row>
    <row r="79">
      <c r="A79" t="inlineStr">
        <is>
          <t>T0078</t>
        </is>
      </c>
      <c r="B79" s="5" t="n">
        <v>46263</v>
      </c>
      <c r="C79" s="6" t="n">
        <v>0.8333333333333334</v>
      </c>
      <c r="D79" t="inlineStr">
        <is>
          <t>Saanvi</t>
        </is>
      </c>
      <c r="E79" t="inlineStr">
        <is>
          <t>West</t>
        </is>
      </c>
      <c r="F79" t="inlineStr">
        <is>
          <t>Keyboard</t>
        </is>
      </c>
      <c r="G79" t="inlineStr">
        <is>
          <t>Accessories</t>
        </is>
      </c>
      <c r="H79" t="n">
        <v>1</v>
      </c>
      <c r="I79" s="7" t="n">
        <v>1703</v>
      </c>
      <c r="J79" s="7" t="n">
        <v>1703</v>
      </c>
      <c r="K79" t="inlineStr">
        <is>
          <t>UPI</t>
        </is>
      </c>
      <c r="L79" t="inlineStr">
        <is>
          <t>New</t>
        </is>
      </c>
      <c r="M79" t="inlineStr">
        <is>
          <t>Kunal</t>
        </is>
      </c>
    </row>
    <row r="80">
      <c r="A80" t="inlineStr">
        <is>
          <t>T0079</t>
        </is>
      </c>
      <c r="B80" s="5" t="n">
        <v>46124</v>
      </c>
      <c r="C80" s="6" t="n">
        <v>0.7916666666666666</v>
      </c>
      <c r="D80" t="inlineStr">
        <is>
          <t>Vivaan</t>
        </is>
      </c>
      <c r="E80" t="inlineStr">
        <is>
          <t>East</t>
        </is>
      </c>
      <c r="F80" t="inlineStr">
        <is>
          <t>Printer</t>
        </is>
      </c>
      <c r="G80" t="inlineStr">
        <is>
          <t>Office</t>
        </is>
      </c>
      <c r="H80" t="n">
        <v>1</v>
      </c>
      <c r="I80" s="7" t="n">
        <v>9585</v>
      </c>
      <c r="J80" s="7" t="n">
        <v>9585</v>
      </c>
      <c r="K80" t="inlineStr">
        <is>
          <t>Card</t>
        </is>
      </c>
      <c r="L80" t="inlineStr">
        <is>
          <t>New</t>
        </is>
      </c>
      <c r="M80" t="inlineStr">
        <is>
          <t>Amit</t>
        </is>
      </c>
    </row>
    <row r="81">
      <c r="A81" t="inlineStr">
        <is>
          <t>T0080</t>
        </is>
      </c>
      <c r="B81" s="5" t="n">
        <v>46107</v>
      </c>
      <c r="C81" s="6" t="n">
        <v>0.75</v>
      </c>
      <c r="D81" t="inlineStr">
        <is>
          <t>Saanvi</t>
        </is>
      </c>
      <c r="E81" t="inlineStr">
        <is>
          <t>West</t>
        </is>
      </c>
      <c r="F81" t="inlineStr">
        <is>
          <t>Keyboard</t>
        </is>
      </c>
      <c r="G81" t="inlineStr">
        <is>
          <t>Accessories</t>
        </is>
      </c>
      <c r="H81" t="n">
        <v>5</v>
      </c>
      <c r="I81" s="7" t="n">
        <v>1890</v>
      </c>
      <c r="J81" s="7" t="n">
        <v>9450</v>
      </c>
      <c r="K81" t="inlineStr">
        <is>
          <t>UPI</t>
        </is>
      </c>
      <c r="L81" t="inlineStr">
        <is>
          <t>Returning</t>
        </is>
      </c>
      <c r="M81" t="inlineStr">
        <is>
          <t>Kunal</t>
        </is>
      </c>
    </row>
    <row r="82">
      <c r="A82" t="inlineStr">
        <is>
          <t>T0081</t>
        </is>
      </c>
      <c r="B82" s="5" t="n">
        <v>46229</v>
      </c>
      <c r="C82" s="6" t="n">
        <v>0.6666666666666666</v>
      </c>
      <c r="D82" t="inlineStr">
        <is>
          <t>Rohan</t>
        </is>
      </c>
      <c r="E82" t="inlineStr">
        <is>
          <t>North</t>
        </is>
      </c>
      <c r="F82" t="inlineStr">
        <is>
          <t>Keyboard</t>
        </is>
      </c>
      <c r="G82" t="inlineStr">
        <is>
          <t>Accessories</t>
        </is>
      </c>
      <c r="H82" t="n">
        <v>5</v>
      </c>
      <c r="I82" s="7" t="n">
        <v>1814</v>
      </c>
      <c r="J82" s="7" t="n">
        <v>9070</v>
      </c>
      <c r="K82" t="inlineStr">
        <is>
          <t>Net Banking</t>
        </is>
      </c>
      <c r="L82" t="inlineStr">
        <is>
          <t>Returning</t>
        </is>
      </c>
      <c r="M82" t="inlineStr">
        <is>
          <t>Raj</t>
        </is>
      </c>
    </row>
    <row r="83">
      <c r="A83" t="inlineStr">
        <is>
          <t>T0082</t>
        </is>
      </c>
      <c r="B83" s="5" t="n">
        <v>46151</v>
      </c>
      <c r="C83" s="6" t="n">
        <v>0.7916666666666666</v>
      </c>
      <c r="D83" t="inlineStr">
        <is>
          <t>Dev</t>
        </is>
      </c>
      <c r="E83" t="inlineStr">
        <is>
          <t>North</t>
        </is>
      </c>
      <c r="F83" t="inlineStr">
        <is>
          <t>Laptop</t>
        </is>
      </c>
      <c r="G83" t="inlineStr">
        <is>
          <t>Electronics</t>
        </is>
      </c>
      <c r="H83" t="n">
        <v>1</v>
      </c>
      <c r="I83" s="7" t="n">
        <v>52018</v>
      </c>
      <c r="J83" s="7" t="n">
        <v>52018</v>
      </c>
      <c r="K83" t="inlineStr">
        <is>
          <t>Cash</t>
        </is>
      </c>
      <c r="L83" t="inlineStr">
        <is>
          <t>New</t>
        </is>
      </c>
      <c r="M83" t="inlineStr">
        <is>
          <t>Neha</t>
        </is>
      </c>
    </row>
    <row r="84">
      <c r="A84" t="inlineStr">
        <is>
          <t>T0083</t>
        </is>
      </c>
      <c r="B84" s="5" t="n">
        <v>46263</v>
      </c>
      <c r="C84" s="6" t="n">
        <v>0.75</v>
      </c>
      <c r="D84" t="inlineStr">
        <is>
          <t>Nisha</t>
        </is>
      </c>
      <c r="E84" t="inlineStr">
        <is>
          <t>West</t>
        </is>
      </c>
      <c r="F84" t="inlineStr">
        <is>
          <t>Chair</t>
        </is>
      </c>
      <c r="G84" t="inlineStr">
        <is>
          <t>Furniture</t>
        </is>
      </c>
      <c r="H84" t="n">
        <v>3</v>
      </c>
      <c r="I84" s="7" t="n">
        <v>6554</v>
      </c>
      <c r="J84" s="7" t="n">
        <v>19662</v>
      </c>
      <c r="K84" t="inlineStr">
        <is>
          <t>UPI</t>
        </is>
      </c>
      <c r="L84" t="inlineStr">
        <is>
          <t>Returning</t>
        </is>
      </c>
      <c r="M84" t="inlineStr">
        <is>
          <t>Kunal</t>
        </is>
      </c>
    </row>
    <row r="85">
      <c r="A85" t="inlineStr">
        <is>
          <t>T0084</t>
        </is>
      </c>
      <c r="B85" s="5" t="n">
        <v>46232</v>
      </c>
      <c r="C85" s="6" t="n">
        <v>0.4583333333333333</v>
      </c>
      <c r="D85" t="inlineStr">
        <is>
          <t>Aditya</t>
        </is>
      </c>
      <c r="E85" t="inlineStr">
        <is>
          <t>West</t>
        </is>
      </c>
      <c r="F85" t="inlineStr">
        <is>
          <t>Monitor</t>
        </is>
      </c>
      <c r="G85" t="inlineStr">
        <is>
          <t>Electronics</t>
        </is>
      </c>
      <c r="H85" t="n">
        <v>3</v>
      </c>
      <c r="I85" s="7" t="n">
        <v>12408</v>
      </c>
      <c r="J85" s="7" t="n">
        <v>37224</v>
      </c>
      <c r="K85" t="inlineStr">
        <is>
          <t>Net Banking</t>
        </is>
      </c>
      <c r="L85" t="inlineStr">
        <is>
          <t>Returning</t>
        </is>
      </c>
      <c r="M85" t="inlineStr">
        <is>
          <t>Sneha</t>
        </is>
      </c>
    </row>
    <row r="86">
      <c r="A86" t="inlineStr">
        <is>
          <t>T0085</t>
        </is>
      </c>
      <c r="B86" s="5" t="n">
        <v>46041</v>
      </c>
      <c r="C86" s="6" t="n">
        <v>0.5833333333333334</v>
      </c>
      <c r="D86" t="inlineStr">
        <is>
          <t>Ananya</t>
        </is>
      </c>
      <c r="E86" t="inlineStr">
        <is>
          <t>West</t>
        </is>
      </c>
      <c r="F86" t="inlineStr">
        <is>
          <t>Chair</t>
        </is>
      </c>
      <c r="G86" t="inlineStr">
        <is>
          <t>Furniture</t>
        </is>
      </c>
      <c r="H86" t="n">
        <v>1</v>
      </c>
      <c r="I86" s="7" t="n">
        <v>6740</v>
      </c>
      <c r="J86" s="7" t="n">
        <v>6740</v>
      </c>
      <c r="K86" t="inlineStr">
        <is>
          <t>UPI</t>
        </is>
      </c>
      <c r="L86" t="inlineStr">
        <is>
          <t>Returning</t>
        </is>
      </c>
      <c r="M86" t="inlineStr">
        <is>
          <t>Sneha</t>
        </is>
      </c>
    </row>
    <row r="87">
      <c r="A87" t="inlineStr">
        <is>
          <t>T0086</t>
        </is>
      </c>
      <c r="B87" s="5" t="n">
        <v>46050</v>
      </c>
      <c r="C87" s="6" t="n">
        <v>0.6666666666666666</v>
      </c>
      <c r="D87" t="inlineStr">
        <is>
          <t>Karan</t>
        </is>
      </c>
      <c r="E87" t="inlineStr">
        <is>
          <t>North</t>
        </is>
      </c>
      <c r="F87" t="inlineStr">
        <is>
          <t>Headphones</t>
        </is>
      </c>
      <c r="G87" t="inlineStr">
        <is>
          <t>Accessories</t>
        </is>
      </c>
      <c r="H87" t="n">
        <v>5</v>
      </c>
      <c r="I87" s="7" t="n">
        <v>3403</v>
      </c>
      <c r="J87" s="7" t="n">
        <v>17015</v>
      </c>
      <c r="K87" t="inlineStr">
        <is>
          <t>Card</t>
        </is>
      </c>
      <c r="L87" t="inlineStr">
        <is>
          <t>Returning</t>
        </is>
      </c>
      <c r="M87" t="inlineStr">
        <is>
          <t>Raj</t>
        </is>
      </c>
    </row>
    <row r="88">
      <c r="A88" t="inlineStr">
        <is>
          <t>T0087</t>
        </is>
      </c>
      <c r="B88" s="5" t="n">
        <v>46090</v>
      </c>
      <c r="C88" s="6" t="n">
        <v>0.6666666666666666</v>
      </c>
      <c r="D88" t="inlineStr">
        <is>
          <t>Ananya</t>
        </is>
      </c>
      <c r="E88" t="inlineStr">
        <is>
          <t>North</t>
        </is>
      </c>
      <c r="F88" t="inlineStr">
        <is>
          <t>Keyboard</t>
        </is>
      </c>
      <c r="G88" t="inlineStr">
        <is>
          <t>Accessories</t>
        </is>
      </c>
      <c r="H88" t="n">
        <v>4</v>
      </c>
      <c r="I88" s="7" t="n">
        <v>1937</v>
      </c>
      <c r="J88" s="7" t="n">
        <v>7748</v>
      </c>
      <c r="K88" t="inlineStr">
        <is>
          <t>Card</t>
        </is>
      </c>
      <c r="L88" t="inlineStr">
        <is>
          <t>New</t>
        </is>
      </c>
      <c r="M88" t="inlineStr">
        <is>
          <t>Kunal</t>
        </is>
      </c>
    </row>
    <row r="89">
      <c r="A89" t="inlineStr">
        <is>
          <t>T0088</t>
        </is>
      </c>
      <c r="B89" s="5" t="n">
        <v>46030</v>
      </c>
      <c r="C89" s="6" t="n">
        <v>0.4166666666666667</v>
      </c>
      <c r="D89" t="inlineStr">
        <is>
          <t>Karan</t>
        </is>
      </c>
      <c r="E89" t="inlineStr">
        <is>
          <t>North</t>
        </is>
      </c>
      <c r="F89" t="inlineStr">
        <is>
          <t>Printer</t>
        </is>
      </c>
      <c r="G89" t="inlineStr">
        <is>
          <t>Office</t>
        </is>
      </c>
      <c r="H89" t="n">
        <v>1</v>
      </c>
      <c r="I89" s="7" t="n">
        <v>8977</v>
      </c>
      <c r="J89" s="7" t="n">
        <v>8977</v>
      </c>
      <c r="K89" t="inlineStr">
        <is>
          <t>Card</t>
        </is>
      </c>
      <c r="L89" t="inlineStr">
        <is>
          <t>Returning</t>
        </is>
      </c>
      <c r="M89" t="inlineStr">
        <is>
          <t>Kunal</t>
        </is>
      </c>
    </row>
    <row r="90">
      <c r="A90" t="inlineStr">
        <is>
          <t>T0089</t>
        </is>
      </c>
      <c r="B90" s="5" t="n">
        <v>46283</v>
      </c>
      <c r="C90" s="6" t="n">
        <v>0.6666666666666666</v>
      </c>
      <c r="D90" t="inlineStr">
        <is>
          <t>Meera</t>
        </is>
      </c>
      <c r="E90" t="inlineStr">
        <is>
          <t>West</t>
        </is>
      </c>
      <c r="F90" t="inlineStr">
        <is>
          <t>Keyboard</t>
        </is>
      </c>
      <c r="G90" t="inlineStr">
        <is>
          <t>Accessories</t>
        </is>
      </c>
      <c r="H90" t="n">
        <v>4</v>
      </c>
      <c r="I90" s="7" t="n">
        <v>1921</v>
      </c>
      <c r="J90" s="7" t="n">
        <v>7684</v>
      </c>
      <c r="K90" t="inlineStr">
        <is>
          <t>Card</t>
        </is>
      </c>
      <c r="L90" t="inlineStr">
        <is>
          <t>Returning</t>
        </is>
      </c>
      <c r="M90" t="inlineStr">
        <is>
          <t>Neha</t>
        </is>
      </c>
    </row>
    <row r="91">
      <c r="A91" t="inlineStr">
        <is>
          <t>T0090</t>
        </is>
      </c>
      <c r="B91" s="5" t="n">
        <v>46283</v>
      </c>
      <c r="C91" s="6" t="n">
        <v>0.625</v>
      </c>
      <c r="D91" t="inlineStr">
        <is>
          <t>Aditya</t>
        </is>
      </c>
      <c r="E91" t="inlineStr">
        <is>
          <t>East</t>
        </is>
      </c>
      <c r="F91" t="inlineStr">
        <is>
          <t>Tablet</t>
        </is>
      </c>
      <c r="G91" t="inlineStr">
        <is>
          <t>Electronics</t>
        </is>
      </c>
      <c r="H91" t="n">
        <v>1</v>
      </c>
      <c r="I91" s="7" t="n">
        <v>17194</v>
      </c>
      <c r="J91" s="7" t="n">
        <v>17194</v>
      </c>
      <c r="K91" t="inlineStr">
        <is>
          <t>UPI</t>
        </is>
      </c>
      <c r="L91" t="inlineStr">
        <is>
          <t>Returning</t>
        </is>
      </c>
      <c r="M91" t="inlineStr">
        <is>
          <t>Kunal</t>
        </is>
      </c>
    </row>
    <row r="92">
      <c r="A92" t="inlineStr">
        <is>
          <t>T0091</t>
        </is>
      </c>
      <c r="B92" s="5" t="n">
        <v>46273</v>
      </c>
      <c r="C92" s="6" t="n">
        <v>0.5833333333333334</v>
      </c>
      <c r="D92" t="inlineStr">
        <is>
          <t>Aditya</t>
        </is>
      </c>
      <c r="E92" t="inlineStr">
        <is>
          <t>West</t>
        </is>
      </c>
      <c r="F92" t="inlineStr">
        <is>
          <t>Tablet</t>
        </is>
      </c>
      <c r="G92" t="inlineStr">
        <is>
          <t>Electronics</t>
        </is>
      </c>
      <c r="H92" t="n">
        <v>4</v>
      </c>
      <c r="I92" s="7" t="n">
        <v>18139</v>
      </c>
      <c r="J92" s="7" t="n">
        <v>72556</v>
      </c>
      <c r="K92" t="inlineStr">
        <is>
          <t>Net Banking</t>
        </is>
      </c>
      <c r="L92" t="inlineStr">
        <is>
          <t>Returning</t>
        </is>
      </c>
      <c r="M92" t="inlineStr">
        <is>
          <t>Neha</t>
        </is>
      </c>
    </row>
    <row r="93">
      <c r="A93" t="inlineStr">
        <is>
          <t>T0092</t>
        </is>
      </c>
      <c r="B93" s="5" t="n">
        <v>46145</v>
      </c>
      <c r="C93" s="6" t="n">
        <v>0.625</v>
      </c>
      <c r="D93" t="inlineStr">
        <is>
          <t>Diya</t>
        </is>
      </c>
      <c r="E93" t="inlineStr">
        <is>
          <t>East</t>
        </is>
      </c>
      <c r="F93" t="inlineStr">
        <is>
          <t>Printer</t>
        </is>
      </c>
      <c r="G93" t="inlineStr">
        <is>
          <t>Office</t>
        </is>
      </c>
      <c r="H93" t="n">
        <v>2</v>
      </c>
      <c r="I93" s="7" t="n">
        <v>10176</v>
      </c>
      <c r="J93" s="7" t="n">
        <v>20352</v>
      </c>
      <c r="K93" t="inlineStr">
        <is>
          <t>Net Banking</t>
        </is>
      </c>
      <c r="L93" t="inlineStr">
        <is>
          <t>Returning</t>
        </is>
      </c>
      <c r="M93" t="inlineStr">
        <is>
          <t>Sneha</t>
        </is>
      </c>
    </row>
    <row r="94">
      <c r="A94" t="inlineStr">
        <is>
          <t>T0093</t>
        </is>
      </c>
      <c r="B94" s="5" t="n">
        <v>46100</v>
      </c>
      <c r="C94" s="6" t="n">
        <v>0.75</v>
      </c>
      <c r="D94" t="inlineStr">
        <is>
          <t>Aditya</t>
        </is>
      </c>
      <c r="E94" t="inlineStr">
        <is>
          <t>North</t>
        </is>
      </c>
      <c r="F94" t="inlineStr">
        <is>
          <t>Chair</t>
        </is>
      </c>
      <c r="G94" t="inlineStr">
        <is>
          <t>Furniture</t>
        </is>
      </c>
      <c r="H94" t="n">
        <v>1</v>
      </c>
      <c r="I94" s="7" t="n">
        <v>6477</v>
      </c>
      <c r="J94" s="7" t="n">
        <v>6477</v>
      </c>
      <c r="K94" t="inlineStr">
        <is>
          <t>Net Banking</t>
        </is>
      </c>
      <c r="L94" t="inlineStr">
        <is>
          <t>New</t>
        </is>
      </c>
      <c r="M94" t="inlineStr">
        <is>
          <t>Raj</t>
        </is>
      </c>
    </row>
    <row r="95">
      <c r="A95" t="inlineStr">
        <is>
          <t>T0094</t>
        </is>
      </c>
      <c r="B95" s="5" t="n">
        <v>46256</v>
      </c>
      <c r="C95" s="6" t="n">
        <v>0.7916666666666666</v>
      </c>
      <c r="D95" t="inlineStr">
        <is>
          <t>Vivaan</t>
        </is>
      </c>
      <c r="E95" t="inlineStr">
        <is>
          <t>North</t>
        </is>
      </c>
      <c r="F95" t="inlineStr">
        <is>
          <t>Laptop</t>
        </is>
      </c>
      <c r="G95" t="inlineStr">
        <is>
          <t>Electronics</t>
        </is>
      </c>
      <c r="H95" t="n">
        <v>2</v>
      </c>
      <c r="I95" s="7" t="n">
        <v>54010</v>
      </c>
      <c r="J95" s="7" t="n">
        <v>108020</v>
      </c>
      <c r="K95" t="inlineStr">
        <is>
          <t>Net Banking</t>
        </is>
      </c>
      <c r="L95" t="inlineStr">
        <is>
          <t>Returning</t>
        </is>
      </c>
      <c r="M95" t="inlineStr">
        <is>
          <t>Kunal</t>
        </is>
      </c>
    </row>
    <row r="96">
      <c r="A96" t="inlineStr">
        <is>
          <t>T0095</t>
        </is>
      </c>
      <c r="B96" s="5" t="n">
        <v>46226</v>
      </c>
      <c r="C96" s="6" t="n">
        <v>0.7083333333333334</v>
      </c>
      <c r="D96" t="inlineStr">
        <is>
          <t>Rahul</t>
        </is>
      </c>
      <c r="E96" t="inlineStr">
        <is>
          <t>East</t>
        </is>
      </c>
      <c r="F96" t="inlineStr">
        <is>
          <t>Smartphone</t>
        </is>
      </c>
      <c r="G96" t="inlineStr">
        <is>
          <t>Electronics</t>
        </is>
      </c>
      <c r="H96" t="n">
        <v>3</v>
      </c>
      <c r="I96" s="7" t="n">
        <v>29973</v>
      </c>
      <c r="J96" s="7" t="n">
        <v>89919</v>
      </c>
      <c r="K96" t="inlineStr">
        <is>
          <t>Net Banking</t>
        </is>
      </c>
      <c r="L96" t="inlineStr">
        <is>
          <t>New</t>
        </is>
      </c>
      <c r="M96" t="inlineStr">
        <is>
          <t>Raj</t>
        </is>
      </c>
    </row>
    <row r="97">
      <c r="A97" t="inlineStr">
        <is>
          <t>T0096</t>
        </is>
      </c>
      <c r="B97" s="5" t="n">
        <v>46058</v>
      </c>
      <c r="C97" s="6" t="n">
        <v>0.8333333333333334</v>
      </c>
      <c r="D97" t="inlineStr">
        <is>
          <t>Rohan</t>
        </is>
      </c>
      <c r="E97" t="inlineStr">
        <is>
          <t>West</t>
        </is>
      </c>
      <c r="F97" t="inlineStr">
        <is>
          <t>Headphones</t>
        </is>
      </c>
      <c r="G97" t="inlineStr">
        <is>
          <t>Accessories</t>
        </is>
      </c>
      <c r="H97" t="n">
        <v>3</v>
      </c>
      <c r="I97" s="7" t="n">
        <v>3848</v>
      </c>
      <c r="J97" s="7" t="n">
        <v>11544</v>
      </c>
      <c r="K97" t="inlineStr">
        <is>
          <t>UPI</t>
        </is>
      </c>
      <c r="L97" t="inlineStr">
        <is>
          <t>New</t>
        </is>
      </c>
      <c r="M97" t="inlineStr">
        <is>
          <t>Sneha</t>
        </is>
      </c>
    </row>
    <row r="98">
      <c r="A98" t="inlineStr">
        <is>
          <t>T0097</t>
        </is>
      </c>
      <c r="B98" s="5" t="n">
        <v>46108</v>
      </c>
      <c r="C98" s="6" t="n">
        <v>0.375</v>
      </c>
      <c r="D98" t="inlineStr">
        <is>
          <t>Saanvi</t>
        </is>
      </c>
      <c r="E98" t="inlineStr">
        <is>
          <t>East</t>
        </is>
      </c>
      <c r="F98" t="inlineStr">
        <is>
          <t>Keyboard</t>
        </is>
      </c>
      <c r="G98" t="inlineStr">
        <is>
          <t>Accessories</t>
        </is>
      </c>
      <c r="H98" t="n">
        <v>1</v>
      </c>
      <c r="I98" s="7" t="n">
        <v>1637</v>
      </c>
      <c r="J98" s="7" t="n">
        <v>1637</v>
      </c>
      <c r="K98" t="inlineStr">
        <is>
          <t>Cash</t>
        </is>
      </c>
      <c r="L98" t="inlineStr">
        <is>
          <t>Returning</t>
        </is>
      </c>
      <c r="M98" t="inlineStr">
        <is>
          <t>Neha</t>
        </is>
      </c>
    </row>
    <row r="99">
      <c r="A99" t="inlineStr">
        <is>
          <t>T0098</t>
        </is>
      </c>
      <c r="B99" s="5" t="n">
        <v>46148</v>
      </c>
      <c r="C99" s="6" t="n">
        <v>0.4583333333333333</v>
      </c>
      <c r="D99" t="inlineStr">
        <is>
          <t>Ishita</t>
        </is>
      </c>
      <c r="E99" t="inlineStr">
        <is>
          <t>South</t>
        </is>
      </c>
      <c r="F99" t="inlineStr">
        <is>
          <t>Printer</t>
        </is>
      </c>
      <c r="G99" t="inlineStr">
        <is>
          <t>Office</t>
        </is>
      </c>
      <c r="H99" t="n">
        <v>5</v>
      </c>
      <c r="I99" s="7" t="n">
        <v>9845</v>
      </c>
      <c r="J99" s="7" t="n">
        <v>49225</v>
      </c>
      <c r="K99" t="inlineStr">
        <is>
          <t>UPI</t>
        </is>
      </c>
      <c r="L99" t="inlineStr">
        <is>
          <t>Returning</t>
        </is>
      </c>
      <c r="M99" t="inlineStr">
        <is>
          <t>Raj</t>
        </is>
      </c>
    </row>
    <row r="100">
      <c r="A100" t="inlineStr">
        <is>
          <t>T0099</t>
        </is>
      </c>
      <c r="B100" s="5" t="n">
        <v>46146</v>
      </c>
      <c r="C100" s="6" t="n">
        <v>0.6666666666666666</v>
      </c>
      <c r="D100" t="inlineStr">
        <is>
          <t>Kabir</t>
        </is>
      </c>
      <c r="E100" t="inlineStr">
        <is>
          <t>West</t>
        </is>
      </c>
      <c r="F100" t="inlineStr">
        <is>
          <t>Chair</t>
        </is>
      </c>
      <c r="G100" t="inlineStr">
        <is>
          <t>Furniture</t>
        </is>
      </c>
      <c r="H100" t="n">
        <v>5</v>
      </c>
      <c r="I100" s="7" t="n">
        <v>6500</v>
      </c>
      <c r="J100" s="7" t="n">
        <v>32500</v>
      </c>
      <c r="K100" t="inlineStr">
        <is>
          <t>Cash</t>
        </is>
      </c>
      <c r="L100" t="inlineStr">
        <is>
          <t>New</t>
        </is>
      </c>
      <c r="M100" t="inlineStr">
        <is>
          <t>Sneha</t>
        </is>
      </c>
    </row>
    <row r="101">
      <c r="A101" t="inlineStr">
        <is>
          <t>T0100</t>
        </is>
      </c>
      <c r="B101" s="5" t="n">
        <v>46170</v>
      </c>
      <c r="C101" s="6" t="n">
        <v>0.5833333333333334</v>
      </c>
      <c r="D101" t="inlineStr">
        <is>
          <t>Dev</t>
        </is>
      </c>
      <c r="E101" t="inlineStr">
        <is>
          <t>East</t>
        </is>
      </c>
      <c r="F101" t="inlineStr">
        <is>
          <t>Tablet</t>
        </is>
      </c>
      <c r="G101" t="inlineStr">
        <is>
          <t>Electronics</t>
        </is>
      </c>
      <c r="H101" t="n">
        <v>1</v>
      </c>
      <c r="I101" s="7" t="n">
        <v>17790</v>
      </c>
      <c r="J101" s="7" t="n">
        <v>17790</v>
      </c>
      <c r="K101" t="inlineStr">
        <is>
          <t>Net Banking</t>
        </is>
      </c>
      <c r="L101" t="inlineStr">
        <is>
          <t>Returning</t>
        </is>
      </c>
      <c r="M101" t="inlineStr">
        <is>
          <t>Sneha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8" t="inlineStr">
        <is>
          <t>CUSTOMER TRANSACTION ANALYSIS</t>
        </is>
      </c>
    </row>
    <row r="3">
      <c r="A3" s="2" t="inlineStr">
        <is>
          <t>Date &amp; Time Functions</t>
        </is>
      </c>
      <c r="D3" s="2" t="inlineStr">
        <is>
          <t>Key Metrics</t>
        </is>
      </c>
    </row>
    <row r="4">
      <c r="A4" t="inlineStr">
        <is>
          <t>Today</t>
        </is>
      </c>
      <c r="B4" s="5">
        <f>TODAY()</f>
        <v/>
      </c>
      <c r="D4" s="2" t="inlineStr">
        <is>
          <t>Total Revenue</t>
        </is>
      </c>
      <c r="E4" s="9">
        <f>SUM('Raw Data'!J2:J101)</f>
        <v/>
      </c>
    </row>
    <row r="5">
      <c r="A5" t="inlineStr">
        <is>
          <t>Current Time</t>
        </is>
      </c>
      <c r="B5" s="10">
        <f>NOW()</f>
        <v/>
      </c>
      <c r="D5" s="2" t="inlineStr">
        <is>
          <t>Total Transactions</t>
        </is>
      </c>
      <c r="E5" s="11">
        <f>COUNTA('Raw Data'!A2:A101)</f>
        <v/>
      </c>
    </row>
    <row r="6">
      <c r="A6" t="inlineStr">
        <is>
          <t>Days from First Transaction</t>
        </is>
      </c>
      <c r="B6">
        <f>DATEDIF(MIN('Raw Data'!B2:B101),TODAY(),"d")</f>
        <v/>
      </c>
      <c r="D6" s="2" t="inlineStr">
        <is>
          <t>Total Quantity</t>
        </is>
      </c>
      <c r="E6" s="11">
        <f>SUM('Raw Data'!H2:H101)</f>
        <v/>
      </c>
    </row>
    <row r="7">
      <c r="A7" t="inlineStr">
        <is>
          <t>Transaction Month</t>
        </is>
      </c>
      <c r="B7">
        <f>TEXT('Raw Data'!B2,"mmm-yyyy")</f>
        <v/>
      </c>
      <c r="D7" s="2" t="inlineStr">
        <is>
          <t>Average Order Value</t>
        </is>
      </c>
      <c r="E7" s="9">
        <f>AVERAGE('Raw Data'!J2:J101)</f>
        <v/>
      </c>
    </row>
    <row r="8">
      <c r="D8" s="2" t="inlineStr">
        <is>
          <t>Unique Customers</t>
        </is>
      </c>
      <c r="E8" s="12">
        <f>SUMPRODUCT(1/COUNTIF('Raw Data'!D2:D101,'Raw Data'!D2:D101))</f>
        <v/>
      </c>
    </row>
    <row r="10">
      <c r="A10" s="2" t="inlineStr">
        <is>
          <t>FILTER Example – Electronics Transactions</t>
        </is>
      </c>
      <c r="F10" s="2" t="inlineStr">
        <is>
          <t>High-Value Customers</t>
        </is>
      </c>
    </row>
    <row r="11">
      <c r="A11" s="4" t="inlineStr">
        <is>
          <t>Transaction ID</t>
        </is>
      </c>
      <c r="B11" s="4" t="inlineStr">
        <is>
          <t>Customer</t>
        </is>
      </c>
      <c r="C11" s="4" t="inlineStr">
        <is>
          <t>Product</t>
        </is>
      </c>
      <c r="D11" s="4" t="inlineStr">
        <is>
          <t>Revenue</t>
        </is>
      </c>
      <c r="F11" s="4" t="inlineStr">
        <is>
          <t>Customer</t>
        </is>
      </c>
      <c r="G11" s="4" t="inlineStr">
        <is>
          <t>Revenue</t>
        </is>
      </c>
      <c r="H11" s="4" t="inlineStr">
        <is>
          <t>Transactions</t>
        </is>
      </c>
    </row>
    <row r="12">
      <c r="A12">
        <f>FILTER(CHOOSE({1,2,3,4},'Raw Data'!A2:A101,'Raw Data'!D2:D101,'Raw Data'!F2:F101,'Raw Data'!J2:J101),'Raw Data'!G2:G101="Electronics","No matches")</f>
        <v/>
      </c>
      <c r="F12" t="inlineStr">
        <is>
          <t>Aarav</t>
        </is>
      </c>
      <c r="G12" s="7">
        <f>SUMIF('Raw Data'!D:D,F12,'Raw Data'!J:J)</f>
        <v/>
      </c>
      <c r="H12">
        <f>COUNTIF('Raw Data'!D:D,F12)</f>
        <v/>
      </c>
    </row>
    <row r="13">
      <c r="F13" t="inlineStr">
        <is>
          <t>Diya</t>
        </is>
      </c>
      <c r="G13" s="7">
        <f>SUMIF('Raw Data'!D:D,F13,'Raw Data'!J:J)</f>
        <v/>
      </c>
      <c r="H13">
        <f>COUNTIF('Raw Data'!D:D,F13)</f>
        <v/>
      </c>
    </row>
    <row r="14">
      <c r="F14" t="inlineStr">
        <is>
          <t>Rohan</t>
        </is>
      </c>
      <c r="G14" s="7">
        <f>SUMIF('Raw Data'!D:D,F14,'Raw Data'!J:J)</f>
        <v/>
      </c>
      <c r="H14">
        <f>COUNTIF('Raw Data'!D:D,F14)</f>
        <v/>
      </c>
    </row>
    <row r="15">
      <c r="F15" t="inlineStr">
        <is>
          <t>Ananya</t>
        </is>
      </c>
      <c r="G15" s="7">
        <f>SUMIF('Raw Data'!D:D,F15,'Raw Data'!J:J)</f>
        <v/>
      </c>
      <c r="H15">
        <f>COUNTIF('Raw Data'!D:D,F15)</f>
        <v/>
      </c>
    </row>
    <row r="16">
      <c r="F16" t="inlineStr">
        <is>
          <t>Vivaan</t>
        </is>
      </c>
      <c r="G16" s="7">
        <f>SUMIF('Raw Data'!D:D,F16,'Raw Data'!J:J)</f>
        <v/>
      </c>
      <c r="H16">
        <f>COUNTIF('Raw Data'!D:D,F16)</f>
        <v/>
      </c>
    </row>
    <row r="17">
      <c r="F17" t="inlineStr">
        <is>
          <t>Ishita</t>
        </is>
      </c>
      <c r="G17" s="7">
        <f>SUMIF('Raw Data'!D:D,F17,'Raw Data'!J:J)</f>
        <v/>
      </c>
      <c r="H17">
        <f>COUNTIF('Raw Data'!D:D,F17)</f>
        <v/>
      </c>
    </row>
    <row r="18">
      <c r="F18" t="inlineStr">
        <is>
          <t>Arjun</t>
        </is>
      </c>
      <c r="G18" s="7">
        <f>SUMIF('Raw Data'!D:D,F18,'Raw Data'!J:J)</f>
        <v/>
      </c>
      <c r="H18">
        <f>COUNTIF('Raw Data'!D:D,F18)</f>
        <v/>
      </c>
    </row>
    <row r="19">
      <c r="F19" t="inlineStr">
        <is>
          <t>Meera</t>
        </is>
      </c>
      <c r="G19" s="7">
        <f>SUMIF('Raw Data'!D:D,F19,'Raw Data'!J:J)</f>
        <v/>
      </c>
      <c r="H19">
        <f>COUNTIF('Raw Data'!D:D,F19)</f>
        <v/>
      </c>
    </row>
    <row r="20">
      <c r="F20" t="inlineStr">
        <is>
          <t>Kabir</t>
        </is>
      </c>
      <c r="G20" s="7">
        <f>SUMIF('Raw Data'!D:D,F20,'Raw Data'!J:J)</f>
        <v/>
      </c>
      <c r="H20">
        <f>COUNTIF('Raw Data'!D:D,F20)</f>
        <v/>
      </c>
    </row>
    <row r="21">
      <c r="F21" t="inlineStr">
        <is>
          <t>Saanvi</t>
        </is>
      </c>
      <c r="G21" s="7">
        <f>SUMIF('Raw Data'!D:D,F21,'Raw Data'!J:J)</f>
        <v/>
      </c>
      <c r="H21">
        <f>COUNTIF('Raw Data'!D:D,F21)</f>
        <v/>
      </c>
    </row>
    <row r="25">
      <c r="A25" t="inlineStr">
        <is>
          <t>Most Purchased Product</t>
        </is>
      </c>
      <c r="B25">
        <f>INDEX('Raw Data'!F2:F101,MODE(MATCH('Raw Data'!F2:F101,'Raw Data'!F2:F101,0)))</f>
        <v/>
      </c>
    </row>
    <row r="26">
      <c r="A26" t="inlineStr">
        <is>
          <t>Most Frequent Customer</t>
        </is>
      </c>
      <c r="B26">
        <f>INDEX('Raw Data'!D2:D101,MODE(MATCH('Raw Data'!D2:D101,'Raw Data'!D2:D101,0)))</f>
        <v/>
      </c>
    </row>
    <row r="29">
      <c r="A29" s="2" t="inlineStr">
        <is>
          <t>Compare Two Lists</t>
        </is>
      </c>
      <c r="E29" s="2" t="inlineStr">
        <is>
          <t>Abbreviations using TEXT functions</t>
        </is>
      </c>
    </row>
    <row r="30">
      <c r="A30" s="4" t="inlineStr">
        <is>
          <t>List A</t>
        </is>
      </c>
      <c r="B30" s="4" t="inlineStr">
        <is>
          <t>List B</t>
        </is>
      </c>
      <c r="C30" s="4" t="inlineStr">
        <is>
          <t>Matching Name</t>
        </is>
      </c>
      <c r="E30" s="4" t="inlineStr">
        <is>
          <t>Customer</t>
        </is>
      </c>
      <c r="F30" s="4" t="inlineStr">
        <is>
          <t>Abbreviation</t>
        </is>
      </c>
    </row>
    <row r="31">
      <c r="A31" t="inlineStr">
        <is>
          <t>Aarav</t>
        </is>
      </c>
      <c r="B31" t="inlineStr">
        <is>
          <t>Ishita</t>
        </is>
      </c>
      <c r="C31">
        <f>IF(COUNTIF(B:B,A31)&gt;0,A31,"")</f>
        <v/>
      </c>
      <c r="E31" t="inlineStr">
        <is>
          <t>Aarav</t>
        </is>
      </c>
      <c r="F31">
        <f>UPPER(LEFT(E31,3))</f>
        <v/>
      </c>
    </row>
    <row r="32">
      <c r="A32" t="inlineStr">
        <is>
          <t>Diya</t>
        </is>
      </c>
      <c r="B32" t="inlineStr">
        <is>
          <t>Arjun</t>
        </is>
      </c>
      <c r="C32">
        <f>IF(COUNTIF(B:B,A32)&gt;0,A32,"")</f>
        <v/>
      </c>
      <c r="E32" t="inlineStr">
        <is>
          <t>Diya</t>
        </is>
      </c>
      <c r="F32">
        <f>UPPER(LEFT(E32,3))</f>
        <v/>
      </c>
    </row>
    <row r="33">
      <c r="A33" t="inlineStr">
        <is>
          <t>Rohan</t>
        </is>
      </c>
      <c r="B33" t="inlineStr">
        <is>
          <t>Meera</t>
        </is>
      </c>
      <c r="C33">
        <f>IF(COUNTIF(B:B,A33)&gt;0,A33,"")</f>
        <v/>
      </c>
      <c r="E33" t="inlineStr">
        <is>
          <t>Rohan</t>
        </is>
      </c>
      <c r="F33">
        <f>UPPER(LEFT(E33,3))</f>
        <v/>
      </c>
    </row>
    <row r="34">
      <c r="A34" t="inlineStr">
        <is>
          <t>Ananya</t>
        </is>
      </c>
      <c r="B34" t="inlineStr">
        <is>
          <t>Kabir</t>
        </is>
      </c>
      <c r="C34">
        <f>IF(COUNTIF(B:B,A34)&gt;0,A34,"")</f>
        <v/>
      </c>
      <c r="E34" t="inlineStr">
        <is>
          <t>Ananya</t>
        </is>
      </c>
      <c r="F34">
        <f>UPPER(LEFT(E34,3))</f>
        <v/>
      </c>
    </row>
    <row r="35">
      <c r="A35" t="inlineStr">
        <is>
          <t>Vivaan</t>
        </is>
      </c>
      <c r="B35" t="inlineStr">
        <is>
          <t>Saanvi</t>
        </is>
      </c>
      <c r="C35">
        <f>IF(COUNTIF(B:B,A35)&gt;0,A35,"")</f>
        <v/>
      </c>
      <c r="E35" t="inlineStr">
        <is>
          <t>Vivaan</t>
        </is>
      </c>
      <c r="F35">
        <f>UPPER(LEFT(E35,3))</f>
        <v/>
      </c>
    </row>
    <row r="36">
      <c r="A36" t="inlineStr">
        <is>
          <t>Ishita</t>
        </is>
      </c>
      <c r="B36" t="inlineStr">
        <is>
          <t>Aditya</t>
        </is>
      </c>
      <c r="C36">
        <f>IF(COUNTIF(B:B,A36)&gt;0,A36,"")</f>
        <v/>
      </c>
      <c r="E36" t="inlineStr">
        <is>
          <t>Ishita</t>
        </is>
      </c>
      <c r="F36">
        <f>UPPER(LEFT(E36,3))</f>
        <v/>
      </c>
    </row>
    <row r="37">
      <c r="A37" t="inlineStr">
        <is>
          <t>Arjun</t>
        </is>
      </c>
      <c r="B37" t="inlineStr">
        <is>
          <t>Priya</t>
        </is>
      </c>
      <c r="C37">
        <f>IF(COUNTIF(B:B,A37)&gt;0,A37,"")</f>
        <v/>
      </c>
      <c r="E37" t="inlineStr">
        <is>
          <t>Arjun</t>
        </is>
      </c>
      <c r="F37">
        <f>UPPER(LEFT(E37,3))</f>
        <v/>
      </c>
    </row>
    <row r="38">
      <c r="A38" t="inlineStr">
        <is>
          <t>Meera</t>
        </is>
      </c>
      <c r="B38" t="inlineStr">
        <is>
          <t>Rahul</t>
        </is>
      </c>
      <c r="C38">
        <f>IF(COUNTIF(B:B,A38)&gt;0,A38,"")</f>
        <v/>
      </c>
      <c r="E38" t="inlineStr">
        <is>
          <t>Meera</t>
        </is>
      </c>
      <c r="F38">
        <f>UPPER(LEFT(E38,3))</f>
        <v/>
      </c>
    </row>
    <row r="39">
      <c r="A39" t="inlineStr">
        <is>
          <t>Kabir</t>
        </is>
      </c>
      <c r="B39" t="inlineStr">
        <is>
          <t>Nisha</t>
        </is>
      </c>
      <c r="C39">
        <f>IF(COUNTIF(B:B,A39)&gt;0,A39,"")</f>
        <v/>
      </c>
      <c r="E39" t="inlineStr">
        <is>
          <t>Kabir</t>
        </is>
      </c>
      <c r="F39">
        <f>UPPER(LEFT(E39,3))</f>
        <v/>
      </c>
    </row>
    <row r="40">
      <c r="A40" t="inlineStr">
        <is>
          <t>Saanvi</t>
        </is>
      </c>
      <c r="B40" t="inlineStr">
        <is>
          <t>Karan</t>
        </is>
      </c>
      <c r="C40">
        <f>IF(COUNTIF(B:B,A40)&gt;0,A40,"")</f>
        <v/>
      </c>
      <c r="E40" t="inlineStr">
        <is>
          <t>Saanvi</t>
        </is>
      </c>
      <c r="F40">
        <f>UPPER(LEFT(E40,3))</f>
        <v/>
      </c>
    </row>
  </sheetData>
  <mergeCells count="1">
    <mergeCell ref="A1:H1"/>
  </mergeCells>
  <conditionalFormatting sqref="G12:G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8" t="inlineStr">
        <is>
          <t>MONTHLY SALES ANALYSIS</t>
        </is>
      </c>
    </row>
    <row r="3">
      <c r="A3" s="4" t="inlineStr">
        <is>
          <t>Month</t>
        </is>
      </c>
      <c r="B3" s="4" t="inlineStr">
        <is>
          <t>Revenue</t>
        </is>
      </c>
      <c r="C3" s="4" t="inlineStr">
        <is>
          <t>Transactions</t>
        </is>
      </c>
      <c r="D3" s="4" t="inlineStr">
        <is>
          <t>Quantity</t>
        </is>
      </c>
      <c r="E3" s="4" t="inlineStr">
        <is>
          <t>Average Order Value</t>
        </is>
      </c>
    </row>
    <row r="4">
      <c r="A4" s="13" t="n">
        <v>46023</v>
      </c>
      <c r="B4" s="7">
        <f>SUMIFS('Raw Data'!J:J,'Raw Data'!B:B,"&gt;="&amp;A4,'Raw Data'!B:B,"&lt;"&amp;EDATE(A4,1))</f>
        <v/>
      </c>
      <c r="C4">
        <f>COUNTIFS('Raw Data'!B:B,"&gt;="&amp;A4,'Raw Data'!B:B,"&lt;"&amp;EDATE(A4,1))</f>
        <v/>
      </c>
      <c r="D4">
        <f>SUMIFS('Raw Data'!H:H,'Raw Data'!B:B,"&gt;="&amp;A4,'Raw Data'!B:B,"&lt;"&amp;EDATE(A4,1))</f>
        <v/>
      </c>
      <c r="E4" s="7">
        <f>IFERROR(B4/C4,0)</f>
        <v/>
      </c>
    </row>
    <row r="5">
      <c r="A5" s="13" t="n">
        <v>46054</v>
      </c>
      <c r="B5" s="7">
        <f>SUMIFS('Raw Data'!J:J,'Raw Data'!B:B,"&gt;="&amp;A5,'Raw Data'!B:B,"&lt;"&amp;EDATE(A5,1))</f>
        <v/>
      </c>
      <c r="C5">
        <f>COUNTIFS('Raw Data'!B:B,"&gt;="&amp;A5,'Raw Data'!B:B,"&lt;"&amp;EDATE(A5,1))</f>
        <v/>
      </c>
      <c r="D5">
        <f>SUMIFS('Raw Data'!H:H,'Raw Data'!B:B,"&gt;="&amp;A5,'Raw Data'!B:B,"&lt;"&amp;EDATE(A5,1))</f>
        <v/>
      </c>
      <c r="E5" s="7">
        <f>IFERROR(B5/C5,0)</f>
        <v/>
      </c>
    </row>
    <row r="6">
      <c r="A6" s="13" t="n">
        <v>46082</v>
      </c>
      <c r="B6" s="7">
        <f>SUMIFS('Raw Data'!J:J,'Raw Data'!B:B,"&gt;="&amp;A6,'Raw Data'!B:B,"&lt;"&amp;EDATE(A6,1))</f>
        <v/>
      </c>
      <c r="C6">
        <f>COUNTIFS('Raw Data'!B:B,"&gt;="&amp;A6,'Raw Data'!B:B,"&lt;"&amp;EDATE(A6,1))</f>
        <v/>
      </c>
      <c r="D6">
        <f>SUMIFS('Raw Data'!H:H,'Raw Data'!B:B,"&gt;="&amp;A6,'Raw Data'!B:B,"&lt;"&amp;EDATE(A6,1))</f>
        <v/>
      </c>
      <c r="E6" s="7">
        <f>IFERROR(B6/C6,0)</f>
        <v/>
      </c>
    </row>
    <row r="7">
      <c r="A7" s="13" t="n">
        <v>46113</v>
      </c>
      <c r="B7" s="7">
        <f>SUMIFS('Raw Data'!J:J,'Raw Data'!B:B,"&gt;="&amp;A7,'Raw Data'!B:B,"&lt;"&amp;EDATE(A7,1))</f>
        <v/>
      </c>
      <c r="C7">
        <f>COUNTIFS('Raw Data'!B:B,"&gt;="&amp;A7,'Raw Data'!B:B,"&lt;"&amp;EDATE(A7,1))</f>
        <v/>
      </c>
      <c r="D7">
        <f>SUMIFS('Raw Data'!H:H,'Raw Data'!B:B,"&gt;="&amp;A7,'Raw Data'!B:B,"&lt;"&amp;EDATE(A7,1))</f>
        <v/>
      </c>
      <c r="E7" s="7">
        <f>IFERROR(B7/C7,0)</f>
        <v/>
      </c>
    </row>
    <row r="8">
      <c r="A8" s="13" t="n">
        <v>46143</v>
      </c>
      <c r="B8" s="7">
        <f>SUMIFS('Raw Data'!J:J,'Raw Data'!B:B,"&gt;="&amp;A8,'Raw Data'!B:B,"&lt;"&amp;EDATE(A8,1))</f>
        <v/>
      </c>
      <c r="C8">
        <f>COUNTIFS('Raw Data'!B:B,"&gt;="&amp;A8,'Raw Data'!B:B,"&lt;"&amp;EDATE(A8,1))</f>
        <v/>
      </c>
      <c r="D8">
        <f>SUMIFS('Raw Data'!H:H,'Raw Data'!B:B,"&gt;="&amp;A8,'Raw Data'!B:B,"&lt;"&amp;EDATE(A8,1))</f>
        <v/>
      </c>
      <c r="E8" s="7">
        <f>IFERROR(B8/C8,0)</f>
        <v/>
      </c>
    </row>
    <row r="9">
      <c r="A9" s="13" t="n">
        <v>46174</v>
      </c>
      <c r="B9" s="7">
        <f>SUMIFS('Raw Data'!J:J,'Raw Data'!B:B,"&gt;="&amp;A9,'Raw Data'!B:B,"&lt;"&amp;EDATE(A9,1))</f>
        <v/>
      </c>
      <c r="C9">
        <f>COUNTIFS('Raw Data'!B:B,"&gt;="&amp;A9,'Raw Data'!B:B,"&lt;"&amp;EDATE(A9,1))</f>
        <v/>
      </c>
      <c r="D9">
        <f>SUMIFS('Raw Data'!H:H,'Raw Data'!B:B,"&gt;="&amp;A9,'Raw Data'!B:B,"&lt;"&amp;EDATE(A9,1))</f>
        <v/>
      </c>
      <c r="E9" s="7">
        <f>IFERROR(B9/C9,0)</f>
        <v/>
      </c>
    </row>
    <row r="10">
      <c r="A10" s="13" t="n">
        <v>46204</v>
      </c>
      <c r="B10" s="7">
        <f>SUMIFS('Raw Data'!J:J,'Raw Data'!B:B,"&gt;="&amp;A10,'Raw Data'!B:B,"&lt;"&amp;EDATE(A10,1))</f>
        <v/>
      </c>
      <c r="C10">
        <f>COUNTIFS('Raw Data'!B:B,"&gt;="&amp;A10,'Raw Data'!B:B,"&lt;"&amp;EDATE(A10,1))</f>
        <v/>
      </c>
      <c r="D10">
        <f>SUMIFS('Raw Data'!H:H,'Raw Data'!B:B,"&gt;="&amp;A10,'Raw Data'!B:B,"&lt;"&amp;EDATE(A10,1))</f>
        <v/>
      </c>
      <c r="E10" s="7">
        <f>IFERROR(B10/C10,0)</f>
        <v/>
      </c>
    </row>
    <row r="11">
      <c r="A11" s="13" t="n">
        <v>46235</v>
      </c>
      <c r="B11" s="7">
        <f>SUMIFS('Raw Data'!J:J,'Raw Data'!B:B,"&gt;="&amp;A11,'Raw Data'!B:B,"&lt;"&amp;EDATE(A11,1))</f>
        <v/>
      </c>
      <c r="C11">
        <f>COUNTIFS('Raw Data'!B:B,"&gt;="&amp;A11,'Raw Data'!B:B,"&lt;"&amp;EDATE(A11,1))</f>
        <v/>
      </c>
      <c r="D11">
        <f>SUMIFS('Raw Data'!H:H,'Raw Data'!B:B,"&gt;="&amp;A11,'Raw Data'!B:B,"&lt;"&amp;EDATE(A11,1))</f>
        <v/>
      </c>
      <c r="E11" s="7">
        <f>IFERROR(B11/C11,0)</f>
        <v/>
      </c>
    </row>
    <row r="12">
      <c r="A12" s="13" t="n">
        <v>46266</v>
      </c>
      <c r="B12" s="7">
        <f>SUMIFS('Raw Data'!J:J,'Raw Data'!B:B,"&gt;="&amp;A12,'Raw Data'!B:B,"&lt;"&amp;EDATE(A12,1))</f>
        <v/>
      </c>
      <c r="C12">
        <f>COUNTIFS('Raw Data'!B:B,"&gt;="&amp;A12,'Raw Data'!B:B,"&lt;"&amp;EDATE(A12,1))</f>
        <v/>
      </c>
      <c r="D12">
        <f>SUMIFS('Raw Data'!H:H,'Raw Data'!B:B,"&gt;="&amp;A12,'Raw Data'!B:B,"&lt;"&amp;EDATE(A12,1))</f>
        <v/>
      </c>
      <c r="E12" s="7">
        <f>IFERROR(B12/C12,0)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8" t="inlineStr">
        <is>
          <t>REGIONAL SALES ANALYSIS</t>
        </is>
      </c>
    </row>
    <row r="3">
      <c r="A3" s="4" t="inlineStr">
        <is>
          <t>Region</t>
        </is>
      </c>
      <c r="B3" s="4" t="inlineStr">
        <is>
          <t>Revenue</t>
        </is>
      </c>
      <c r="C3" s="4" t="inlineStr">
        <is>
          <t>Transactions</t>
        </is>
      </c>
      <c r="D3" s="4" t="inlineStr">
        <is>
          <t>Quantity</t>
        </is>
      </c>
      <c r="E3" s="4" t="inlineStr">
        <is>
          <t>Revenue Share</t>
        </is>
      </c>
    </row>
    <row r="4">
      <c r="A4" t="inlineStr">
        <is>
          <t>North</t>
        </is>
      </c>
      <c r="B4" s="7">
        <f>SUMIF('Raw Data'!E:E,A4,'Raw Data'!J:J)</f>
        <v/>
      </c>
      <c r="C4">
        <f>COUNTIF('Raw Data'!E:E,A4)</f>
        <v/>
      </c>
      <c r="D4">
        <f>SUMIF('Raw Data'!E:E,A4,'Raw Data'!H:H)</f>
        <v/>
      </c>
      <c r="E4" s="14">
        <f>B4/SUM($B$4:$B$7)</f>
        <v/>
      </c>
    </row>
    <row r="5">
      <c r="A5" t="inlineStr">
        <is>
          <t>South</t>
        </is>
      </c>
      <c r="B5" s="7">
        <f>SUMIF('Raw Data'!E:E,A5,'Raw Data'!J:J)</f>
        <v/>
      </c>
      <c r="C5">
        <f>COUNTIF('Raw Data'!E:E,A5)</f>
        <v/>
      </c>
      <c r="D5">
        <f>SUMIF('Raw Data'!E:E,A5,'Raw Data'!H:H)</f>
        <v/>
      </c>
      <c r="E5" s="14">
        <f>B5/SUM($B$4:$B$7)</f>
        <v/>
      </c>
    </row>
    <row r="6">
      <c r="A6" t="inlineStr">
        <is>
          <t>East</t>
        </is>
      </c>
      <c r="B6" s="7">
        <f>SUMIF('Raw Data'!E:E,A6,'Raw Data'!J:J)</f>
        <v/>
      </c>
      <c r="C6">
        <f>COUNTIF('Raw Data'!E:E,A6)</f>
        <v/>
      </c>
      <c r="D6">
        <f>SUMIF('Raw Data'!E:E,A6,'Raw Data'!H:H)</f>
        <v/>
      </c>
      <c r="E6" s="14">
        <f>B6/SUM($B$4:$B$7)</f>
        <v/>
      </c>
    </row>
    <row r="7">
      <c r="A7" t="inlineStr">
        <is>
          <t>West</t>
        </is>
      </c>
      <c r="B7" s="7">
        <f>SUMIF('Raw Data'!E:E,A7,'Raw Data'!J:J)</f>
        <v/>
      </c>
      <c r="C7">
        <f>COUNTIF('Raw Data'!E:E,A7)</f>
        <v/>
      </c>
      <c r="D7">
        <f>SUMIF('Raw Data'!E:E,A7,'Raw Data'!H:H)</f>
        <v/>
      </c>
      <c r="E7" s="14">
        <f>B7/SUM($B$4:$B$7)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8" t="inlineStr">
        <is>
          <t>WHAT-IF ANALYSIS &amp; LINEAR REGRESSION</t>
        </is>
      </c>
    </row>
    <row r="3">
      <c r="A3" s="2" t="inlineStr">
        <is>
          <t>Goal Seek Example</t>
        </is>
      </c>
      <c r="E3" s="2" t="inlineStr">
        <is>
          <t>Linear Regression</t>
        </is>
      </c>
    </row>
    <row r="4">
      <c r="A4" t="inlineStr">
        <is>
          <t>Current Revenue</t>
        </is>
      </c>
      <c r="B4">
        <f>SUM('Raw Data'!J2:J101)</f>
        <v/>
      </c>
    </row>
    <row r="5">
      <c r="A5" t="inlineStr">
        <is>
          <t>Target Revenue</t>
        </is>
      </c>
      <c r="B5" t="n">
        <v>10000000</v>
      </c>
    </row>
    <row r="6">
      <c r="A6" t="inlineStr">
        <is>
          <t>Required Growth %</t>
        </is>
      </c>
      <c r="B6">
        <f>B5/B4-1</f>
        <v/>
      </c>
    </row>
    <row r="7">
      <c r="A7" t="inlineStr">
        <is>
          <t>Goal Seek: Data → What-If Analysis → Goal Seek; set B4 to B5 by changing the chosen growth/input cell.</t>
        </is>
      </c>
      <c r="E7" t="inlineStr">
        <is>
          <t>Slope</t>
        </is>
      </c>
      <c r="F7">
        <f>SLOPE('Raw Data'!J2:J101,'Raw Data'!H2:H101)</f>
        <v/>
      </c>
    </row>
    <row r="8">
      <c r="E8" t="inlineStr">
        <is>
          <t>Intercept</t>
        </is>
      </c>
      <c r="F8">
        <f>INTERCEPT('Raw Data'!J2:J101,'Raw Data'!H2:H101)</f>
        <v/>
      </c>
    </row>
    <row r="9">
      <c r="E9" t="inlineStr">
        <is>
          <t>R²</t>
        </is>
      </c>
      <c r="F9">
        <f>RSQ('Raw Data'!J2:J101,'Raw Data'!H2:H101)</f>
        <v/>
      </c>
    </row>
    <row r="10">
      <c r="A10" s="2" t="inlineStr">
        <is>
          <t>Scenario Manager-style table</t>
        </is>
      </c>
      <c r="E10" t="inlineStr">
        <is>
          <t>Correlation</t>
        </is>
      </c>
      <c r="F10">
        <f>CORREL('Raw Data'!J2:J101,'Raw Data'!H2:H101)</f>
        <v/>
      </c>
    </row>
    <row r="11">
      <c r="A11" s="4" t="inlineStr">
        <is>
          <t>Scenario</t>
        </is>
      </c>
      <c r="B11" s="4" t="inlineStr">
        <is>
          <t>Revenue Growth</t>
        </is>
      </c>
      <c r="C11" s="4" t="inlineStr">
        <is>
          <t>Projected Revenue</t>
        </is>
      </c>
    </row>
    <row r="12">
      <c r="A12" t="inlineStr">
        <is>
          <t>Base</t>
        </is>
      </c>
      <c r="B12" s="15" t="n">
        <v>0</v>
      </c>
      <c r="C12" s="7">
        <f>$B$4*(1+B12)</f>
        <v/>
      </c>
    </row>
    <row r="13">
      <c r="A13" t="inlineStr">
        <is>
          <t>Growth</t>
        </is>
      </c>
      <c r="B13" s="15" t="n">
        <v>0.1</v>
      </c>
      <c r="C13" s="7">
        <f>$B$4*(1+B13)</f>
        <v/>
      </c>
    </row>
    <row r="14">
      <c r="A14" t="inlineStr">
        <is>
          <t>High Growth</t>
        </is>
      </c>
      <c r="B14" s="15" t="n">
        <v>0.2</v>
      </c>
      <c r="C14" s="7">
        <f>$B$4*(1+B14)</f>
        <v/>
      </c>
    </row>
    <row r="15">
      <c r="A15" t="inlineStr">
        <is>
          <t>Decline</t>
        </is>
      </c>
      <c r="B15" s="15" t="n">
        <v>-0.1</v>
      </c>
      <c r="C15" s="7">
        <f>$B$4*(1+B15)</f>
        <v/>
      </c>
    </row>
    <row r="18">
      <c r="A18" t="inlineStr">
        <is>
          <t>Timestamp</t>
        </is>
      </c>
      <c r="B18" s="16">
        <f>NOW()</f>
        <v/>
      </c>
    </row>
    <row r="19">
      <c r="A19" t="inlineStr">
        <is>
          <t>Refresh with F9 when workbook recalculates.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4" t="inlineStr">
        <is>
          <t>Category</t>
        </is>
      </c>
      <c r="B1" s="4" t="inlineStr">
        <is>
          <t>Revenue</t>
        </is>
      </c>
    </row>
    <row r="2">
      <c r="A2" t="inlineStr">
        <is>
          <t>Electronics</t>
        </is>
      </c>
      <c r="B2" s="7">
        <f>SUMIF('Raw Data'!G:G,A2,'Raw Data'!J:J)</f>
        <v/>
      </c>
    </row>
    <row r="3">
      <c r="A3" t="inlineStr">
        <is>
          <t>Accessories</t>
        </is>
      </c>
      <c r="B3" s="7">
        <f>SUMIF('Raw Data'!G:G,A3,'Raw Data'!J:J)</f>
        <v/>
      </c>
    </row>
    <row r="4">
      <c r="A4" t="inlineStr">
        <is>
          <t>Office</t>
        </is>
      </c>
      <c r="B4" s="7">
        <f>SUMIF('Raw Data'!G:G,A4,'Raw Data'!J:J)</f>
        <v/>
      </c>
    </row>
    <row r="5">
      <c r="A5" t="inlineStr">
        <is>
          <t>Furniture</t>
        </is>
      </c>
      <c r="B5" s="7">
        <f>SUMIF('Raw Data'!G:G,A5,'Raw Data'!J:J)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7" t="inlineStr">
        <is>
          <t>CUSTOMER SALES DASHBOARD</t>
        </is>
      </c>
    </row>
    <row r="3">
      <c r="A3" s="18" t="inlineStr">
        <is>
          <t>Total Revenue</t>
        </is>
      </c>
      <c r="C3" s="18" t="inlineStr">
        <is>
          <t>Transactions</t>
        </is>
      </c>
      <c r="E3" s="18" t="inlineStr">
        <is>
          <t>Quantity Sold</t>
        </is>
      </c>
      <c r="G3" s="18" t="inlineStr">
        <is>
          <t>Avg Order Value</t>
        </is>
      </c>
    </row>
    <row r="4">
      <c r="A4" s="19">
        <f>Analysis!E4</f>
        <v/>
      </c>
      <c r="C4" s="20">
        <f>Analysis!E5</f>
        <v/>
      </c>
      <c r="E4" s="20">
        <f>Analysis!E6</f>
        <v/>
      </c>
      <c r="G4" s="19">
        <f>Analysis!E7</f>
        <v/>
      </c>
    </row>
    <row r="22">
      <c r="E22" s="2" t="inlineStr">
        <is>
          <t>Products</t>
        </is>
      </c>
    </row>
    <row r="23">
      <c r="E23" s="4" t="inlineStr">
        <is>
          <t>Product</t>
        </is>
      </c>
      <c r="F23" s="4" t="inlineStr">
        <is>
          <t>Revenue</t>
        </is>
      </c>
    </row>
    <row r="24">
      <c r="E24" t="inlineStr">
        <is>
          <t>Laptop</t>
        </is>
      </c>
      <c r="F24" s="7">
        <f>SUMIF('Raw Data'!F:F,E24,'Raw Data'!J:J)</f>
        <v/>
      </c>
    </row>
    <row r="25">
      <c r="E25" t="inlineStr">
        <is>
          <t>Smartphone</t>
        </is>
      </c>
      <c r="F25" s="7">
        <f>SUMIF('Raw Data'!F:F,E25,'Raw Data'!J:J)</f>
        <v/>
      </c>
    </row>
    <row r="26">
      <c r="E26" t="inlineStr">
        <is>
          <t>Tablet</t>
        </is>
      </c>
      <c r="F26" s="7">
        <f>SUMIF('Raw Data'!F:F,E26,'Raw Data'!J:J)</f>
        <v/>
      </c>
    </row>
    <row r="27">
      <c r="E27" t="inlineStr">
        <is>
          <t>Headphones</t>
        </is>
      </c>
      <c r="F27" s="7">
        <f>SUMIF('Raw Data'!F:F,E27,'Raw Data'!J:J)</f>
        <v/>
      </c>
    </row>
    <row r="28">
      <c r="E28" t="inlineStr">
        <is>
          <t>Keyboard</t>
        </is>
      </c>
      <c r="F28" s="7">
        <f>SUMIF('Raw Data'!F:F,E28,'Raw Data'!J:J)</f>
        <v/>
      </c>
    </row>
    <row r="29">
      <c r="E29" t="inlineStr">
        <is>
          <t>Monitor</t>
        </is>
      </c>
      <c r="F29" s="7">
        <f>SUMIF('Raw Data'!F:F,E29,'Raw Data'!J:J)</f>
        <v/>
      </c>
    </row>
    <row r="30">
      <c r="E30" t="inlineStr">
        <is>
          <t>Printer</t>
        </is>
      </c>
      <c r="F30" s="7">
        <f>SUMIF('Raw Data'!F:F,E30,'Raw Data'!J:J)</f>
        <v/>
      </c>
    </row>
    <row r="31">
      <c r="E31" t="inlineStr">
        <is>
          <t>Chair</t>
        </is>
      </c>
      <c r="F31" s="7">
        <f>SUMIF('Raw Data'!F:F,E31,'Raw Data'!J:J)</f>
        <v/>
      </c>
    </row>
    <row r="39">
      <c r="A39" s="2" t="inlineStr">
        <is>
          <t>Slicers &amp; Timeline</t>
        </is>
      </c>
    </row>
    <row r="40">
      <c r="A40" s="21" t="inlineStr">
        <is>
          <t>In Excel: Insert → PivotTable from Raw Data, then Insert → Slicer (Region/Category/Customer Type) and Insert → Timeline (Date).</t>
        </is>
      </c>
    </row>
    <row r="41"/>
  </sheetData>
  <mergeCells count="2">
    <mergeCell ref="A40:H41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2026-09-30T07:47:15Z</dcterms:created>
  <dcterms:modified xmlns:dcterms="http://purl.org/dc/terms/" xmlns:xsi="http://www.w3.org/2001/XMLSchema-instance" xsi:type="dcterms:W3CDTF">2026-09-30T07:47:15Z</dcterms:modified>
</cp:coreProperties>
</file>